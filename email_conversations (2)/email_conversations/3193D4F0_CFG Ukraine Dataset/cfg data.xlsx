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bloFigueroa\Downloads\"/>
    </mc:Choice>
  </mc:AlternateContent>
  <xr:revisionPtr revIDLastSave="0" documentId="13_ncr:1_{0B7FD2FF-E520-4D58-87FA-6341E455B0E7}" xr6:coauthVersionLast="47" xr6:coauthVersionMax="47" xr10:uidLastSave="{00000000-0000-0000-0000-000000000000}"/>
  <bookViews>
    <workbookView xWindow="-28920" yWindow="0" windowWidth="29040" windowHeight="15720" activeTab="1" xr2:uid="{5CF2E3B6-2780-4BBA-A1D7-C41B24BD826A}"/>
  </bookViews>
  <sheets>
    <sheet name="data" sheetId="2" r:id="rId1"/>
    <sheet name="View 1" sheetId="1" r:id="rId2"/>
    <sheet name="View 2" sheetId="3" r:id="rId3"/>
  </sheets>
  <definedNames>
    <definedName name="ExternalData_1" localSheetId="0" hidden="1">data!$A$1:$L$113</definedName>
  </definedNames>
  <calcPr calcId="191029" calcCompleted="0" calcOnSave="0"/>
  <pivotCaches>
    <pivotCache cacheId="6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1" l="1"/>
  <c r="E11" i="1" s="1"/>
  <c r="D10" i="1"/>
  <c r="E10" i="1" s="1"/>
  <c r="D9" i="1"/>
  <c r="E9" i="1" s="1"/>
  <c r="D8" i="1"/>
  <c r="E8" i="1" s="1"/>
  <c r="D7" i="1"/>
  <c r="E7" i="1" s="1"/>
  <c r="D6" i="1"/>
  <c r="E6" i="1" s="1"/>
  <c r="D5" i="1"/>
  <c r="E5" i="1" s="1"/>
  <c r="D4" i="1"/>
  <c r="E4" i="1" s="1"/>
  <c r="F1" i="1"/>
  <c r="D1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04FDD8C-BF55-491F-95C5-F6222AC29748}" keepAlive="1" name="Query - cfg-unknown-all-ukr-tf-customs-weekly" description="Connection to the 'cfg-unknown-all-ukr-tf-customs-weekly' query in the workbook." type="5" refreshedVersion="8" background="1" saveData="1">
    <dbPr connection="Provider=Microsoft.Mashup.OleDb.1;Data Source=$Workbook$;Location=cfg-unknown-all-ukr-tf-customs-weekly;Extended Properties=&quot;&quot;" command="SELECT * FROM [cfg-unknown-all-ukr-tf-customs-weekly]"/>
  </connection>
</connections>
</file>

<file path=xl/sharedStrings.xml><?xml version="1.0" encoding="utf-8"?>
<sst xmlns="http://schemas.openxmlformats.org/spreadsheetml/2006/main" count="859" uniqueCount="116">
  <si>
    <t>Cut-Off Date</t>
  </si>
  <si>
    <t>Country Reporter</t>
  </si>
  <si>
    <t>Country Partner</t>
  </si>
  <si>
    <t>Country Partner_MappedName</t>
  </si>
  <si>
    <t>Product</t>
  </si>
  <si>
    <t>Product_MappedName</t>
  </si>
  <si>
    <t>Quantity</t>
  </si>
  <si>
    <t>Quantity Unit</t>
  </si>
  <si>
    <t>Quantity Unit_MappedName</t>
  </si>
  <si>
    <t>Date Reporter</t>
  </si>
  <si>
    <t>UKR</t>
  </si>
  <si>
    <t>ARM</t>
  </si>
  <si>
    <t>Armenia</t>
  </si>
  <si>
    <t>MT</t>
  </si>
  <si>
    <t>Metric Ton</t>
  </si>
  <si>
    <t>POL</t>
  </si>
  <si>
    <t>Poland</t>
  </si>
  <si>
    <t>ITA</t>
  </si>
  <si>
    <t>Italy</t>
  </si>
  <si>
    <t>OTHER</t>
  </si>
  <si>
    <t>Others</t>
  </si>
  <si>
    <t>GEO</t>
  </si>
  <si>
    <t>Georgia</t>
  </si>
  <si>
    <t>SRB</t>
  </si>
  <si>
    <t>Serbia</t>
  </si>
  <si>
    <t>SVK</t>
  </si>
  <si>
    <t>Slovakia</t>
  </si>
  <si>
    <t>ESP</t>
  </si>
  <si>
    <t>Spain</t>
  </si>
  <si>
    <t>BGR</t>
  </si>
  <si>
    <t>Bulgaria</t>
  </si>
  <si>
    <t>USA</t>
  </si>
  <si>
    <t>United States</t>
  </si>
  <si>
    <t>ROU</t>
  </si>
  <si>
    <t>Romania</t>
  </si>
  <si>
    <t>MDA</t>
  </si>
  <si>
    <t>Moldova</t>
  </si>
  <si>
    <t>TUR</t>
  </si>
  <si>
    <t>Turkey</t>
  </si>
  <si>
    <t>GRC</t>
  </si>
  <si>
    <t>Greece</t>
  </si>
  <si>
    <t>LBN</t>
  </si>
  <si>
    <t>Lebanon</t>
  </si>
  <si>
    <t>UAE</t>
  </si>
  <si>
    <t>United Arab Emirates</t>
  </si>
  <si>
    <t>HUN</t>
  </si>
  <si>
    <t>Hungary</t>
  </si>
  <si>
    <t>AZE</t>
  </si>
  <si>
    <t>Azerbaijan</t>
  </si>
  <si>
    <t>HRV</t>
  </si>
  <si>
    <t>Croatia</t>
  </si>
  <si>
    <t>LTU</t>
  </si>
  <si>
    <t>Lithuania</t>
  </si>
  <si>
    <t>CHN</t>
  </si>
  <si>
    <t>China</t>
  </si>
  <si>
    <t>GBRT</t>
  </si>
  <si>
    <t>Great Britain</t>
  </si>
  <si>
    <t>NLD</t>
  </si>
  <si>
    <t>Netherlands</t>
  </si>
  <si>
    <t>SFS</t>
  </si>
  <si>
    <t>Sunflower Seed</t>
  </si>
  <si>
    <t>DEU</t>
  </si>
  <si>
    <t>Germany</t>
  </si>
  <si>
    <t>CZE</t>
  </si>
  <si>
    <t>Czech Republic</t>
  </si>
  <si>
    <t>AUT</t>
  </si>
  <si>
    <t>Austria</t>
  </si>
  <si>
    <t>EGY</t>
  </si>
  <si>
    <t>Egypt</t>
  </si>
  <si>
    <t>FRA</t>
  </si>
  <si>
    <t>France</t>
  </si>
  <si>
    <t>VNM</t>
  </si>
  <si>
    <t>Vietnam</t>
  </si>
  <si>
    <t>CRN</t>
  </si>
  <si>
    <t>Corn</t>
  </si>
  <si>
    <t>MYS</t>
  </si>
  <si>
    <t>Malaysia</t>
  </si>
  <si>
    <t>IND</t>
  </si>
  <si>
    <t>India</t>
  </si>
  <si>
    <t>SFO</t>
  </si>
  <si>
    <t>Sunflower Seed Oil</t>
  </si>
  <si>
    <t>IRQ</t>
  </si>
  <si>
    <t>Iraq</t>
  </si>
  <si>
    <t>JOR</t>
  </si>
  <si>
    <t>Jordan</t>
  </si>
  <si>
    <t>LVA</t>
  </si>
  <si>
    <t>Latvia</t>
  </si>
  <si>
    <t>ISR</t>
  </si>
  <si>
    <t>Israel</t>
  </si>
  <si>
    <t>CAN</t>
  </si>
  <si>
    <t>Canada</t>
  </si>
  <si>
    <t>LBY</t>
  </si>
  <si>
    <t>Libya</t>
  </si>
  <si>
    <t>WHT</t>
  </si>
  <si>
    <t>Wheat</t>
  </si>
  <si>
    <t>DZA</t>
  </si>
  <si>
    <t>Algeria</t>
  </si>
  <si>
    <t>TUN</t>
  </si>
  <si>
    <t>Tunisia</t>
  </si>
  <si>
    <t>SBS</t>
  </si>
  <si>
    <t>Soybean</t>
  </si>
  <si>
    <t>SBO</t>
  </si>
  <si>
    <t>Soybean Oil</t>
  </si>
  <si>
    <t>SBM</t>
  </si>
  <si>
    <t>Soybean Meal</t>
  </si>
  <si>
    <t>RSS</t>
  </si>
  <si>
    <t>Rapeseed</t>
  </si>
  <si>
    <t>Month</t>
  </si>
  <si>
    <t>Year</t>
  </si>
  <si>
    <t>extrapolation</t>
  </si>
  <si>
    <t>Row Labels</t>
  </si>
  <si>
    <t>Grand Total</t>
  </si>
  <si>
    <t>Sum of Quantity</t>
  </si>
  <si>
    <t>Column Labels</t>
  </si>
  <si>
    <t>(All)</t>
  </si>
  <si>
    <t>this shows how much has been exported and how much ,might be exported by the end of the month if the pace remains unchanged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</si>
</sst>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0" fillId="0" borderId="0" xfId="0" applyNumberFormat="1"/>
    <xf numFmtId="43" fontId="0" fillId="0" borderId="0" xfId="1" applyFont="1"/>
    <xf numFmtId="17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2">
    <cellStyle name="Comma" xfId="1" builtinId="3"/>
    <cellStyle name="Normal" xfId="0" builtinId="0"/>
  </cellStyles>
  <dxfs count="9">
    <dxf>
      <numFmt numFmtId="19" formatCode="dd/mm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blo Figueroa" refreshedDate="45755.877111921298" createdVersion="8" refreshedVersion="8" minRefreshableVersion="3" recordCount="394" xr:uid="{789A21AE-8BE5-410A-852B-73CD60B71344}">
  <cacheSource type="worksheet">
    <worksheetSource ref="A1:L1048576" sheet="data"/>
  </cacheSource>
  <cacheFields count="12">
    <cacheField name="Cut-Off Date" numFmtId="0">
      <sharedItems containsNonDate="0" containsDate="1" containsString="0" containsBlank="1" minDate="2025-04-08T00:00:00" maxDate="2025-04-09T00:00:00"/>
    </cacheField>
    <cacheField name="Country Reporter" numFmtId="0">
      <sharedItems containsBlank="1"/>
    </cacheField>
    <cacheField name="Country Partner" numFmtId="0">
      <sharedItems containsBlank="1" count="40">
        <s v="NLD"/>
        <s v="DEU"/>
        <s v="CZE"/>
        <s v="AZE"/>
        <s v="AUT"/>
        <s v="ARM"/>
        <s v="BGR"/>
        <s v="TUR"/>
        <s v="IRQ"/>
        <s v="ITA"/>
        <s v="POL"/>
        <s v="CHN"/>
        <s v="ESP"/>
        <s v="IND"/>
        <s v="JOR"/>
        <s v="FRA"/>
        <s v="LTU"/>
        <s v="GEO"/>
        <s v="LBN"/>
        <s v="UAE"/>
        <s v="LVA"/>
        <s v="ISR"/>
        <s v="GRC"/>
        <s v="USA"/>
        <s v="HRV"/>
        <s v="CAN"/>
        <s v="OTHER"/>
        <s v="GBRT"/>
        <s v="EGY"/>
        <s v="VNM"/>
        <s v="ROU"/>
        <s v="MDA"/>
        <s v="LBY"/>
        <s v="MYS"/>
        <s v="DZA"/>
        <s v="TUN"/>
        <s v="SRB"/>
        <s v="HUN"/>
        <s v="SVK"/>
        <m/>
      </sharedItems>
    </cacheField>
    <cacheField name="Country Partner_MappedName" numFmtId="0">
      <sharedItems containsBlank="1"/>
    </cacheField>
    <cacheField name="Product" numFmtId="0">
      <sharedItems containsBlank="1" count="9">
        <s v="SFS"/>
        <s v="SFO"/>
        <s v="CRN"/>
        <s v="WHT"/>
        <s v="SBS"/>
        <s v="SBO"/>
        <s v="SBM"/>
        <s v="RSS"/>
        <m/>
      </sharedItems>
    </cacheField>
    <cacheField name="Product_MappedName" numFmtId="0">
      <sharedItems containsBlank="1"/>
    </cacheField>
    <cacheField name="Quantity" numFmtId="0">
      <sharedItems containsString="0" containsBlank="1" containsNumber="1" minValue="2.8250000000000001E-2" maxValue="62949.96"/>
    </cacheField>
    <cacheField name="Quantity Unit" numFmtId="0">
      <sharedItems containsBlank="1"/>
    </cacheField>
    <cacheField name="Quantity Unit_MappedName" numFmtId="0">
      <sharedItems containsBlank="1"/>
    </cacheField>
    <cacheField name="Date Reporter" numFmtId="0">
      <sharedItems containsNonDate="0" containsDate="1" containsString="0" containsBlank="1" minDate="2025-04-06T00:00:00" maxDate="2025-04-07T00:00:00" count="2">
        <d v="2025-04-06T00:00:00"/>
        <m/>
      </sharedItems>
    </cacheField>
    <cacheField name="Month" numFmtId="0">
      <sharedItems containsString="0" containsBlank="1" containsNumber="1" containsInteger="1" minValue="4" maxValue="4"/>
    </cacheField>
    <cacheField name="Year" numFmtId="0">
      <sharedItems containsString="0" containsBlank="1" containsNumber="1" containsInteger="1" minValue="2025" maxValue="20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4">
  <r>
    <d v="2025-04-08T00:00:00"/>
    <s v="UKR"/>
    <x v="0"/>
    <s v="Netherlands"/>
    <x v="0"/>
    <s v="Sunflower Seed"/>
    <n v="22"/>
    <s v="MT"/>
    <s v="Metric Ton"/>
    <x v="0"/>
    <n v="4"/>
    <n v="2025"/>
  </r>
  <r>
    <d v="2025-04-08T00:00:00"/>
    <s v="UKR"/>
    <x v="1"/>
    <s v="Germany"/>
    <x v="0"/>
    <s v="Sunflower Seed"/>
    <n v="22"/>
    <s v="MT"/>
    <s v="Metric Ton"/>
    <x v="0"/>
    <n v="4"/>
    <n v="2025"/>
  </r>
  <r>
    <d v="2025-04-08T00:00:00"/>
    <s v="UKR"/>
    <x v="2"/>
    <s v="Czech Republic"/>
    <x v="0"/>
    <s v="Sunflower Seed"/>
    <n v="149.06"/>
    <s v="MT"/>
    <s v="Metric Ton"/>
    <x v="0"/>
    <n v="4"/>
    <n v="2025"/>
  </r>
  <r>
    <d v="2025-04-08T00:00:00"/>
    <s v="UKR"/>
    <x v="3"/>
    <s v="Azerbaijan"/>
    <x v="0"/>
    <s v="Sunflower Seed"/>
    <n v="7.0000000000000007E-2"/>
    <s v="MT"/>
    <s v="Metric Ton"/>
    <x v="0"/>
    <n v="4"/>
    <n v="2025"/>
  </r>
  <r>
    <d v="2025-04-08T00:00:00"/>
    <s v="UKR"/>
    <x v="4"/>
    <s v="Austria"/>
    <x v="0"/>
    <s v="Sunflower Seed"/>
    <n v="2.8250000000000001E-2"/>
    <s v="MT"/>
    <s v="Metric Ton"/>
    <x v="0"/>
    <n v="4"/>
    <n v="2025"/>
  </r>
  <r>
    <d v="2025-04-08T00:00:00"/>
    <s v="UKR"/>
    <x v="5"/>
    <s v="Armenia"/>
    <x v="0"/>
    <s v="Sunflower Seed"/>
    <n v="51.75"/>
    <s v="MT"/>
    <s v="Metric Ton"/>
    <x v="0"/>
    <n v="4"/>
    <n v="2025"/>
  </r>
  <r>
    <d v="2025-04-08T00:00:00"/>
    <s v="UKR"/>
    <x v="6"/>
    <s v="Bulgaria"/>
    <x v="0"/>
    <s v="Sunflower Seed"/>
    <n v="126.803"/>
    <s v="MT"/>
    <s v="Metric Ton"/>
    <x v="0"/>
    <n v="4"/>
    <n v="2025"/>
  </r>
  <r>
    <d v="2025-04-08T00:00:00"/>
    <s v="UKR"/>
    <x v="7"/>
    <s v="Turkey"/>
    <x v="1"/>
    <s v="Sunflower Seed Oil"/>
    <n v="22073.279999999999"/>
    <s v="MT"/>
    <s v="Metric Ton"/>
    <x v="0"/>
    <n v="4"/>
    <n v="2025"/>
  </r>
  <r>
    <d v="2025-04-08T00:00:00"/>
    <s v="UKR"/>
    <x v="8"/>
    <s v="Iraq"/>
    <x v="1"/>
    <s v="Sunflower Seed Oil"/>
    <n v="35000"/>
    <s v="MT"/>
    <s v="Metric Ton"/>
    <x v="0"/>
    <n v="4"/>
    <n v="2025"/>
  </r>
  <r>
    <d v="2025-04-08T00:00:00"/>
    <s v="UKR"/>
    <x v="0"/>
    <s v="Netherlands"/>
    <x v="1"/>
    <s v="Sunflower Seed Oil"/>
    <n v="13993.6957"/>
    <s v="MT"/>
    <s v="Metric Ton"/>
    <x v="0"/>
    <n v="4"/>
    <n v="2025"/>
  </r>
  <r>
    <d v="2025-04-08T00:00:00"/>
    <s v="UKR"/>
    <x v="9"/>
    <s v="Italy"/>
    <x v="1"/>
    <s v="Sunflower Seed Oil"/>
    <n v="6775.0767999999998"/>
    <s v="MT"/>
    <s v="Metric Ton"/>
    <x v="0"/>
    <n v="4"/>
    <n v="2025"/>
  </r>
  <r>
    <d v="2025-04-08T00:00:00"/>
    <s v="UKR"/>
    <x v="10"/>
    <s v="Poland"/>
    <x v="1"/>
    <s v="Sunflower Seed Oil"/>
    <n v="860.41600000000005"/>
    <s v="MT"/>
    <s v="Metric Ton"/>
    <x v="0"/>
    <n v="4"/>
    <n v="2025"/>
  </r>
  <r>
    <d v="2025-04-08T00:00:00"/>
    <s v="UKR"/>
    <x v="11"/>
    <s v="China"/>
    <x v="1"/>
    <s v="Sunflower Seed Oil"/>
    <n v="786.50160000000005"/>
    <s v="MT"/>
    <s v="Metric Ton"/>
    <x v="0"/>
    <n v="4"/>
    <n v="2025"/>
  </r>
  <r>
    <d v="2025-04-08T00:00:00"/>
    <s v="UKR"/>
    <x v="12"/>
    <s v="Spain"/>
    <x v="1"/>
    <s v="Sunflower Seed Oil"/>
    <n v="6702"/>
    <s v="MT"/>
    <s v="Metric Ton"/>
    <x v="0"/>
    <n v="4"/>
    <n v="2025"/>
  </r>
  <r>
    <d v="2025-04-08T00:00:00"/>
    <s v="UKR"/>
    <x v="13"/>
    <s v="India"/>
    <x v="1"/>
    <s v="Sunflower Seed Oil"/>
    <n v="9820.64"/>
    <s v="MT"/>
    <s v="Metric Ton"/>
    <x v="0"/>
    <n v="4"/>
    <n v="2025"/>
  </r>
  <r>
    <d v="2025-04-08T00:00:00"/>
    <s v="UKR"/>
    <x v="1"/>
    <s v="Germany"/>
    <x v="1"/>
    <s v="Sunflower Seed Oil"/>
    <n v="40.957000000000001"/>
    <s v="MT"/>
    <s v="Metric Ton"/>
    <x v="0"/>
    <n v="4"/>
    <n v="2025"/>
  </r>
  <r>
    <d v="2025-04-08T00:00:00"/>
    <s v="UKR"/>
    <x v="14"/>
    <s v="Jordan"/>
    <x v="1"/>
    <s v="Sunflower Seed Oil"/>
    <n v="646.70399999999995"/>
    <s v="MT"/>
    <s v="Metric Ton"/>
    <x v="0"/>
    <n v="4"/>
    <n v="2025"/>
  </r>
  <r>
    <d v="2025-04-08T00:00:00"/>
    <s v="UKR"/>
    <x v="6"/>
    <s v="Bulgaria"/>
    <x v="1"/>
    <s v="Sunflower Seed Oil"/>
    <n v="179.196"/>
    <s v="MT"/>
    <s v="Metric Ton"/>
    <x v="0"/>
    <n v="4"/>
    <n v="2025"/>
  </r>
  <r>
    <d v="2025-04-08T00:00:00"/>
    <s v="UKR"/>
    <x v="15"/>
    <s v="France"/>
    <x v="1"/>
    <s v="Sunflower Seed Oil"/>
    <n v="781.90251999999998"/>
    <s v="MT"/>
    <s v="Metric Ton"/>
    <x v="0"/>
    <n v="4"/>
    <n v="2025"/>
  </r>
  <r>
    <d v="2025-04-08T00:00:00"/>
    <s v="UKR"/>
    <x v="16"/>
    <s v="Lithuania"/>
    <x v="1"/>
    <s v="Sunflower Seed Oil"/>
    <n v="267.03199999999998"/>
    <s v="MT"/>
    <s v="Metric Ton"/>
    <x v="0"/>
    <n v="4"/>
    <n v="2025"/>
  </r>
  <r>
    <d v="2025-04-08T00:00:00"/>
    <s v="UKR"/>
    <x v="17"/>
    <s v="Georgia"/>
    <x v="1"/>
    <s v="Sunflower Seed Oil"/>
    <n v="61.850999999999999"/>
    <s v="MT"/>
    <s v="Metric Ton"/>
    <x v="0"/>
    <n v="4"/>
    <n v="2025"/>
  </r>
  <r>
    <d v="2025-04-08T00:00:00"/>
    <s v="UKR"/>
    <x v="18"/>
    <s v="Lebanon"/>
    <x v="1"/>
    <s v="Sunflower Seed Oil"/>
    <n v="98.11"/>
    <s v="MT"/>
    <s v="Metric Ton"/>
    <x v="0"/>
    <n v="4"/>
    <n v="2025"/>
  </r>
  <r>
    <d v="2025-04-08T00:00:00"/>
    <s v="UKR"/>
    <x v="19"/>
    <s v="United Arab Emirates"/>
    <x v="1"/>
    <s v="Sunflower Seed Oil"/>
    <n v="203.76"/>
    <s v="MT"/>
    <s v="Metric Ton"/>
    <x v="0"/>
    <n v="4"/>
    <n v="2025"/>
  </r>
  <r>
    <d v="2025-04-08T00:00:00"/>
    <s v="UKR"/>
    <x v="4"/>
    <s v="Austria"/>
    <x v="1"/>
    <s v="Sunflower Seed Oil"/>
    <n v="451.81479999999999"/>
    <s v="MT"/>
    <s v="Metric Ton"/>
    <x v="0"/>
    <n v="4"/>
    <n v="2025"/>
  </r>
  <r>
    <d v="2025-04-08T00:00:00"/>
    <s v="UKR"/>
    <x v="20"/>
    <s v="Latvia"/>
    <x v="1"/>
    <s v="Sunflower Seed Oil"/>
    <n v="92.523200000000003"/>
    <s v="MT"/>
    <s v="Metric Ton"/>
    <x v="0"/>
    <n v="4"/>
    <n v="2025"/>
  </r>
  <r>
    <d v="2025-04-08T00:00:00"/>
    <s v="UKR"/>
    <x v="21"/>
    <s v="Israel"/>
    <x v="1"/>
    <s v="Sunflower Seed Oil"/>
    <n v="419.14240000000001"/>
    <s v="MT"/>
    <s v="Metric Ton"/>
    <x v="0"/>
    <n v="4"/>
    <n v="2025"/>
  </r>
  <r>
    <d v="2025-04-08T00:00:00"/>
    <s v="UKR"/>
    <x v="22"/>
    <s v="Greece"/>
    <x v="1"/>
    <s v="Sunflower Seed Oil"/>
    <n v="161.02600000000001"/>
    <s v="MT"/>
    <s v="Metric Ton"/>
    <x v="0"/>
    <n v="4"/>
    <n v="2025"/>
  </r>
  <r>
    <d v="2025-04-08T00:00:00"/>
    <s v="UKR"/>
    <x v="23"/>
    <s v="United States"/>
    <x v="1"/>
    <s v="Sunflower Seed Oil"/>
    <n v="316.404"/>
    <s v="MT"/>
    <s v="Metric Ton"/>
    <x v="0"/>
    <n v="4"/>
    <n v="2025"/>
  </r>
  <r>
    <d v="2025-04-08T00:00:00"/>
    <s v="UKR"/>
    <x v="24"/>
    <s v="Croatia"/>
    <x v="1"/>
    <s v="Sunflower Seed Oil"/>
    <n v="43.718400000000003"/>
    <s v="MT"/>
    <s v="Metric Ton"/>
    <x v="0"/>
    <n v="4"/>
    <n v="2025"/>
  </r>
  <r>
    <d v="2025-04-08T00:00:00"/>
    <s v="UKR"/>
    <x v="25"/>
    <s v="Canada"/>
    <x v="1"/>
    <s v="Sunflower Seed Oil"/>
    <n v="283.17615999999998"/>
    <s v="MT"/>
    <s v="Metric Ton"/>
    <x v="0"/>
    <n v="4"/>
    <n v="2025"/>
  </r>
  <r>
    <d v="2025-04-08T00:00:00"/>
    <s v="UKR"/>
    <x v="26"/>
    <s v="Others"/>
    <x v="1"/>
    <s v="Sunflower Seed Oil"/>
    <n v="1939.5006699999999"/>
    <s v="MT"/>
    <s v="Metric Ton"/>
    <x v="0"/>
    <n v="4"/>
    <n v="2025"/>
  </r>
  <r>
    <d v="2025-04-08T00:00:00"/>
    <s v="UKR"/>
    <x v="7"/>
    <s v="Turkey"/>
    <x v="2"/>
    <s v="Corn"/>
    <n v="40139.79"/>
    <s v="MT"/>
    <s v="Metric Ton"/>
    <x v="0"/>
    <n v="4"/>
    <n v="2025"/>
  </r>
  <r>
    <d v="2025-04-08T00:00:00"/>
    <s v="UKR"/>
    <x v="0"/>
    <s v="Netherlands"/>
    <x v="2"/>
    <s v="Corn"/>
    <n v="710.23"/>
    <s v="MT"/>
    <s v="Metric Ton"/>
    <x v="0"/>
    <n v="4"/>
    <n v="2025"/>
  </r>
  <r>
    <d v="2025-04-08T00:00:00"/>
    <s v="UKR"/>
    <x v="27"/>
    <s v="Great Britain"/>
    <x v="1"/>
    <s v="Sunflower Seed Oil"/>
    <n v="383.27963999999997"/>
    <s v="MT"/>
    <s v="Metric Ton"/>
    <x v="0"/>
    <n v="4"/>
    <n v="2025"/>
  </r>
  <r>
    <d v="2025-04-08T00:00:00"/>
    <s v="UKR"/>
    <x v="9"/>
    <s v="Italy"/>
    <x v="2"/>
    <s v="Corn"/>
    <n v="34870.71"/>
    <s v="MT"/>
    <s v="Metric Ton"/>
    <x v="0"/>
    <n v="4"/>
    <n v="2025"/>
  </r>
  <r>
    <d v="2025-04-08T00:00:00"/>
    <s v="UKR"/>
    <x v="11"/>
    <s v="China"/>
    <x v="2"/>
    <s v="Corn"/>
    <n v="62949.96"/>
    <s v="MT"/>
    <s v="Metric Ton"/>
    <x v="0"/>
    <n v="4"/>
    <n v="2025"/>
  </r>
  <r>
    <d v="2025-04-08T00:00:00"/>
    <s v="UKR"/>
    <x v="28"/>
    <s v="Egypt"/>
    <x v="2"/>
    <s v="Corn"/>
    <n v="28675.945"/>
    <s v="MT"/>
    <s v="Metric Ton"/>
    <x v="0"/>
    <n v="4"/>
    <n v="2025"/>
  </r>
  <r>
    <d v="2025-04-08T00:00:00"/>
    <s v="UKR"/>
    <x v="12"/>
    <s v="Spain"/>
    <x v="2"/>
    <s v="Corn"/>
    <n v="30200"/>
    <s v="MT"/>
    <s v="Metric Ton"/>
    <x v="0"/>
    <n v="4"/>
    <n v="2025"/>
  </r>
  <r>
    <d v="2025-04-08T00:00:00"/>
    <s v="UKR"/>
    <x v="29"/>
    <s v="Vietnam"/>
    <x v="2"/>
    <s v="Corn"/>
    <n v="60756.53"/>
    <s v="MT"/>
    <s v="Metric Ton"/>
    <x v="0"/>
    <n v="4"/>
    <n v="2025"/>
  </r>
  <r>
    <d v="2025-04-08T00:00:00"/>
    <s v="UKR"/>
    <x v="1"/>
    <s v="Germany"/>
    <x v="2"/>
    <s v="Corn"/>
    <n v="45.82"/>
    <s v="MT"/>
    <s v="Metric Ton"/>
    <x v="0"/>
    <n v="4"/>
    <n v="2025"/>
  </r>
  <r>
    <d v="2025-04-08T00:00:00"/>
    <s v="UKR"/>
    <x v="30"/>
    <s v="Romania"/>
    <x v="2"/>
    <s v="Corn"/>
    <n v="2.9700000000000001E-2"/>
    <s v="MT"/>
    <s v="Metric Ton"/>
    <x v="0"/>
    <n v="4"/>
    <n v="2025"/>
  </r>
  <r>
    <d v="2025-04-08T00:00:00"/>
    <s v="UKR"/>
    <x v="31"/>
    <s v="Moldova"/>
    <x v="2"/>
    <s v="Corn"/>
    <n v="37.792560000000002"/>
    <s v="MT"/>
    <s v="Metric Ton"/>
    <x v="0"/>
    <n v="4"/>
    <n v="2025"/>
  </r>
  <r>
    <d v="2025-04-08T00:00:00"/>
    <s v="UKR"/>
    <x v="31"/>
    <s v="Moldova"/>
    <x v="1"/>
    <s v="Sunflower Seed Oil"/>
    <n v="186.75040000000001"/>
    <s v="MT"/>
    <s v="Metric Ton"/>
    <x v="0"/>
    <n v="4"/>
    <n v="2025"/>
  </r>
  <r>
    <d v="2025-04-08T00:00:00"/>
    <s v="UKR"/>
    <x v="32"/>
    <s v="Libya"/>
    <x v="1"/>
    <s v="Sunflower Seed Oil"/>
    <n v="73.1952"/>
    <s v="MT"/>
    <s v="Metric Ton"/>
    <x v="0"/>
    <n v="4"/>
    <n v="2025"/>
  </r>
  <r>
    <d v="2025-04-08T00:00:00"/>
    <s v="UKR"/>
    <x v="2"/>
    <s v="Czech Republic"/>
    <x v="1"/>
    <s v="Sunflower Seed Oil"/>
    <n v="155.16120000000001"/>
    <s v="MT"/>
    <s v="Metric Ton"/>
    <x v="0"/>
    <n v="4"/>
    <n v="2025"/>
  </r>
  <r>
    <d v="2025-04-08T00:00:00"/>
    <s v="UKR"/>
    <x v="30"/>
    <s v="Romania"/>
    <x v="1"/>
    <s v="Sunflower Seed Oil"/>
    <n v="159.75023999999999"/>
    <s v="MT"/>
    <s v="Metric Ton"/>
    <x v="0"/>
    <n v="4"/>
    <n v="2025"/>
  </r>
  <r>
    <d v="2025-04-08T00:00:00"/>
    <s v="UKR"/>
    <x v="33"/>
    <s v="Malaysia"/>
    <x v="1"/>
    <s v="Sunflower Seed Oil"/>
    <n v="425.26"/>
    <s v="MT"/>
    <s v="Metric Ton"/>
    <x v="0"/>
    <n v="4"/>
    <n v="2025"/>
  </r>
  <r>
    <d v="2025-04-08T00:00:00"/>
    <s v="UKR"/>
    <x v="6"/>
    <s v="Bulgaria"/>
    <x v="2"/>
    <s v="Corn"/>
    <n v="4128.08"/>
    <s v="MT"/>
    <s v="Metric Ton"/>
    <x v="0"/>
    <n v="4"/>
    <n v="2025"/>
  </r>
  <r>
    <d v="2025-04-08T00:00:00"/>
    <s v="UKR"/>
    <x v="22"/>
    <s v="Greece"/>
    <x v="2"/>
    <s v="Corn"/>
    <n v="6598.93"/>
    <s v="MT"/>
    <s v="Metric Ton"/>
    <x v="0"/>
    <n v="4"/>
    <n v="2025"/>
  </r>
  <r>
    <d v="2025-04-08T00:00:00"/>
    <s v="UKR"/>
    <x v="2"/>
    <s v="Czech Republic"/>
    <x v="2"/>
    <s v="Corn"/>
    <n v="46.2"/>
    <s v="MT"/>
    <s v="Metric Ton"/>
    <x v="0"/>
    <n v="4"/>
    <n v="2025"/>
  </r>
  <r>
    <d v="2025-04-08T00:00:00"/>
    <s v="UKR"/>
    <x v="4"/>
    <s v="Austria"/>
    <x v="2"/>
    <s v="Corn"/>
    <n v="6.7299999999999999E-2"/>
    <s v="MT"/>
    <s v="Metric Ton"/>
    <x v="0"/>
    <n v="4"/>
    <n v="2025"/>
  </r>
  <r>
    <d v="2025-04-08T00:00:00"/>
    <s v="UKR"/>
    <x v="26"/>
    <s v="Others"/>
    <x v="2"/>
    <s v="Corn"/>
    <n v="1097.43"/>
    <s v="MT"/>
    <s v="Metric Ton"/>
    <x v="0"/>
    <n v="4"/>
    <n v="2025"/>
  </r>
  <r>
    <d v="2025-04-08T00:00:00"/>
    <s v="UKR"/>
    <x v="0"/>
    <s v="Netherlands"/>
    <x v="3"/>
    <s v="Wheat"/>
    <n v="44.36"/>
    <s v="MT"/>
    <s v="Metric Ton"/>
    <x v="0"/>
    <n v="4"/>
    <n v="2025"/>
  </r>
  <r>
    <d v="2025-04-08T00:00:00"/>
    <s v="UKR"/>
    <x v="9"/>
    <s v="Italy"/>
    <x v="3"/>
    <s v="Wheat"/>
    <n v="10875.36"/>
    <s v="MT"/>
    <s v="Metric Ton"/>
    <x v="0"/>
    <n v="4"/>
    <n v="2025"/>
  </r>
  <r>
    <d v="2025-04-08T00:00:00"/>
    <s v="UKR"/>
    <x v="28"/>
    <s v="Egypt"/>
    <x v="3"/>
    <s v="Wheat"/>
    <n v="5190.7370000000001"/>
    <s v="MT"/>
    <s v="Metric Ton"/>
    <x v="0"/>
    <n v="4"/>
    <n v="2025"/>
  </r>
  <r>
    <d v="2025-04-08T00:00:00"/>
    <s v="UKR"/>
    <x v="34"/>
    <s v="Algeria"/>
    <x v="3"/>
    <s v="Wheat"/>
    <n v="54615.45"/>
    <s v="MT"/>
    <s v="Metric Ton"/>
    <x v="0"/>
    <n v="4"/>
    <n v="2025"/>
  </r>
  <r>
    <d v="2025-04-08T00:00:00"/>
    <s v="UKR"/>
    <x v="13"/>
    <s v="India"/>
    <x v="3"/>
    <s v="Wheat"/>
    <n v="491.93"/>
    <s v="MT"/>
    <s v="Metric Ton"/>
    <x v="0"/>
    <n v="4"/>
    <n v="2025"/>
  </r>
  <r>
    <d v="2025-04-08T00:00:00"/>
    <s v="UKR"/>
    <x v="1"/>
    <s v="Germany"/>
    <x v="3"/>
    <s v="Wheat"/>
    <n v="160.85"/>
    <s v="MT"/>
    <s v="Metric Ton"/>
    <x v="0"/>
    <n v="4"/>
    <n v="2025"/>
  </r>
  <r>
    <d v="2025-04-08T00:00:00"/>
    <s v="UKR"/>
    <x v="32"/>
    <s v="Libya"/>
    <x v="3"/>
    <s v="Wheat"/>
    <n v="19342.258000000002"/>
    <s v="MT"/>
    <s v="Metric Ton"/>
    <x v="0"/>
    <n v="4"/>
    <n v="2025"/>
  </r>
  <r>
    <d v="2025-04-08T00:00:00"/>
    <s v="UKR"/>
    <x v="16"/>
    <s v="Lithuania"/>
    <x v="3"/>
    <s v="Wheat"/>
    <n v="97.48"/>
    <s v="MT"/>
    <s v="Metric Ton"/>
    <x v="0"/>
    <n v="4"/>
    <n v="2025"/>
  </r>
  <r>
    <d v="2025-04-08T00:00:00"/>
    <s v="UKR"/>
    <x v="18"/>
    <s v="Lebanon"/>
    <x v="3"/>
    <s v="Wheat"/>
    <n v="10391.673000000001"/>
    <s v="MT"/>
    <s v="Metric Ton"/>
    <x v="0"/>
    <n v="4"/>
    <n v="2025"/>
  </r>
  <r>
    <d v="2025-04-08T00:00:00"/>
    <s v="UKR"/>
    <x v="2"/>
    <s v="Czech Republic"/>
    <x v="3"/>
    <s v="Wheat"/>
    <n v="93.846000000000004"/>
    <s v="MT"/>
    <s v="Metric Ton"/>
    <x v="0"/>
    <n v="4"/>
    <n v="2025"/>
  </r>
  <r>
    <d v="2025-04-08T00:00:00"/>
    <s v="UKR"/>
    <x v="33"/>
    <s v="Malaysia"/>
    <x v="3"/>
    <s v="Wheat"/>
    <n v="2414.38"/>
    <s v="MT"/>
    <s v="Metric Ton"/>
    <x v="0"/>
    <n v="4"/>
    <n v="2025"/>
  </r>
  <r>
    <d v="2025-04-08T00:00:00"/>
    <s v="UKR"/>
    <x v="35"/>
    <s v="Tunisia"/>
    <x v="3"/>
    <s v="Wheat"/>
    <n v="9564.1200000000008"/>
    <s v="MT"/>
    <s v="Metric Ton"/>
    <x v="0"/>
    <n v="4"/>
    <n v="2025"/>
  </r>
  <r>
    <d v="2025-04-08T00:00:00"/>
    <s v="UKR"/>
    <x v="26"/>
    <s v="Others"/>
    <x v="3"/>
    <s v="Wheat"/>
    <n v="2359.34"/>
    <s v="MT"/>
    <s v="Metric Ton"/>
    <x v="0"/>
    <n v="4"/>
    <n v="2025"/>
  </r>
  <r>
    <d v="2025-04-08T00:00:00"/>
    <s v="UKR"/>
    <x v="7"/>
    <s v="Turkey"/>
    <x v="4"/>
    <s v="Soybean"/>
    <n v="6950.95"/>
    <s v="MT"/>
    <s v="Metric Ton"/>
    <x v="0"/>
    <n v="4"/>
    <n v="2025"/>
  </r>
  <r>
    <d v="2025-04-08T00:00:00"/>
    <s v="UKR"/>
    <x v="0"/>
    <s v="Netherlands"/>
    <x v="4"/>
    <s v="Soybean"/>
    <n v="252.01"/>
    <s v="MT"/>
    <s v="Metric Ton"/>
    <x v="0"/>
    <n v="4"/>
    <n v="2025"/>
  </r>
  <r>
    <d v="2025-04-08T00:00:00"/>
    <s v="UKR"/>
    <x v="9"/>
    <s v="Italy"/>
    <x v="4"/>
    <s v="Soybean"/>
    <n v="2313.1"/>
    <s v="MT"/>
    <s v="Metric Ton"/>
    <x v="0"/>
    <n v="4"/>
    <n v="2025"/>
  </r>
  <r>
    <d v="2025-04-08T00:00:00"/>
    <s v="UKR"/>
    <x v="10"/>
    <s v="Poland"/>
    <x v="4"/>
    <s v="Soybean"/>
    <n v="6440.67"/>
    <s v="MT"/>
    <s v="Metric Ton"/>
    <x v="0"/>
    <n v="4"/>
    <n v="2025"/>
  </r>
  <r>
    <d v="2025-04-08T00:00:00"/>
    <s v="UKR"/>
    <x v="1"/>
    <s v="Germany"/>
    <x v="4"/>
    <s v="Soybean"/>
    <n v="6232.39"/>
    <s v="MT"/>
    <s v="Metric Ton"/>
    <x v="0"/>
    <n v="4"/>
    <n v="2025"/>
  </r>
  <r>
    <d v="2025-04-08T00:00:00"/>
    <s v="UKR"/>
    <x v="30"/>
    <s v="Romania"/>
    <x v="4"/>
    <s v="Soybean"/>
    <n v="4269.83"/>
    <s v="MT"/>
    <s v="Metric Ton"/>
    <x v="0"/>
    <n v="4"/>
    <n v="2025"/>
  </r>
  <r>
    <d v="2025-04-08T00:00:00"/>
    <s v="UKR"/>
    <x v="36"/>
    <s v="Serbia"/>
    <x v="4"/>
    <s v="Soybean"/>
    <n v="7809.7"/>
    <s v="MT"/>
    <s v="Metric Ton"/>
    <x v="0"/>
    <n v="4"/>
    <n v="2025"/>
  </r>
  <r>
    <d v="2025-04-08T00:00:00"/>
    <s v="UKR"/>
    <x v="2"/>
    <s v="Czech Republic"/>
    <x v="4"/>
    <s v="Soybean"/>
    <n v="433.8"/>
    <s v="MT"/>
    <s v="Metric Ton"/>
    <x v="0"/>
    <n v="4"/>
    <n v="2025"/>
  </r>
  <r>
    <d v="2025-04-08T00:00:00"/>
    <s v="UKR"/>
    <x v="19"/>
    <s v="United Arab Emirates"/>
    <x v="4"/>
    <s v="Soybean"/>
    <n v="412.48"/>
    <s v="MT"/>
    <s v="Metric Ton"/>
    <x v="0"/>
    <n v="4"/>
    <n v="2025"/>
  </r>
  <r>
    <d v="2025-04-08T00:00:00"/>
    <s v="UKR"/>
    <x v="33"/>
    <s v="Malaysia"/>
    <x v="4"/>
    <s v="Soybean"/>
    <n v="200"/>
    <s v="MT"/>
    <s v="Metric Ton"/>
    <x v="0"/>
    <n v="4"/>
    <n v="2025"/>
  </r>
  <r>
    <d v="2025-04-08T00:00:00"/>
    <s v="UKR"/>
    <x v="3"/>
    <s v="Azerbaijan"/>
    <x v="4"/>
    <s v="Soybean"/>
    <n v="1800.0170000000001"/>
    <s v="MT"/>
    <s v="Metric Ton"/>
    <x v="0"/>
    <n v="4"/>
    <n v="2025"/>
  </r>
  <r>
    <d v="2025-04-08T00:00:00"/>
    <s v="UKR"/>
    <x v="23"/>
    <s v="United States"/>
    <x v="4"/>
    <s v="Soybean"/>
    <n v="1365.78"/>
    <s v="MT"/>
    <s v="Metric Ton"/>
    <x v="0"/>
    <n v="4"/>
    <n v="2025"/>
  </r>
  <r>
    <d v="2025-04-08T00:00:00"/>
    <s v="UKR"/>
    <x v="4"/>
    <s v="Austria"/>
    <x v="4"/>
    <s v="Soybean"/>
    <n v="221.4"/>
    <s v="MT"/>
    <s v="Metric Ton"/>
    <x v="0"/>
    <n v="4"/>
    <n v="2025"/>
  </r>
  <r>
    <d v="2025-04-08T00:00:00"/>
    <s v="UKR"/>
    <x v="26"/>
    <s v="Others"/>
    <x v="4"/>
    <s v="Soybean"/>
    <n v="23.56"/>
    <s v="MT"/>
    <s v="Metric Ton"/>
    <x v="0"/>
    <n v="4"/>
    <n v="2025"/>
  </r>
  <r>
    <d v="2025-04-08T00:00:00"/>
    <s v="UKR"/>
    <x v="37"/>
    <s v="Hungary"/>
    <x v="4"/>
    <s v="Soybean"/>
    <n v="2156.3000000000002"/>
    <s v="MT"/>
    <s v="Metric Ton"/>
    <x v="0"/>
    <n v="4"/>
    <n v="2025"/>
  </r>
  <r>
    <d v="2025-04-08T00:00:00"/>
    <s v="UKR"/>
    <x v="0"/>
    <s v="Netherlands"/>
    <x v="5"/>
    <s v="Soybean Oil"/>
    <n v="1516.4"/>
    <s v="MT"/>
    <s v="Metric Ton"/>
    <x v="0"/>
    <n v="4"/>
    <n v="2025"/>
  </r>
  <r>
    <d v="2025-04-08T00:00:00"/>
    <s v="UKR"/>
    <x v="10"/>
    <s v="Poland"/>
    <x v="5"/>
    <s v="Soybean Oil"/>
    <n v="4847.8"/>
    <s v="MT"/>
    <s v="Metric Ton"/>
    <x v="0"/>
    <n v="4"/>
    <n v="2025"/>
  </r>
  <r>
    <d v="2025-04-08T00:00:00"/>
    <s v="UKR"/>
    <x v="1"/>
    <s v="Germany"/>
    <x v="5"/>
    <s v="Soybean Oil"/>
    <n v="388.46"/>
    <s v="MT"/>
    <s v="Metric Ton"/>
    <x v="0"/>
    <n v="4"/>
    <n v="2025"/>
  </r>
  <r>
    <d v="2025-04-08T00:00:00"/>
    <s v="UKR"/>
    <x v="30"/>
    <s v="Romania"/>
    <x v="5"/>
    <s v="Soybean Oil"/>
    <n v="201.54"/>
    <s v="MT"/>
    <s v="Metric Ton"/>
    <x v="0"/>
    <n v="4"/>
    <n v="2025"/>
  </r>
  <r>
    <d v="2025-04-08T00:00:00"/>
    <s v="UKR"/>
    <x v="16"/>
    <s v="Lithuania"/>
    <x v="5"/>
    <s v="Soybean Oil"/>
    <n v="23.5"/>
    <s v="MT"/>
    <s v="Metric Ton"/>
    <x v="0"/>
    <n v="4"/>
    <n v="2025"/>
  </r>
  <r>
    <d v="2025-04-08T00:00:00"/>
    <s v="UKR"/>
    <x v="27"/>
    <s v="Great Britain"/>
    <x v="5"/>
    <s v="Soybean Oil"/>
    <n v="18.216000000000001"/>
    <s v="MT"/>
    <s v="Metric Ton"/>
    <x v="0"/>
    <n v="4"/>
    <n v="2025"/>
  </r>
  <r>
    <d v="2025-04-08T00:00:00"/>
    <s v="UKR"/>
    <x v="28"/>
    <s v="Egypt"/>
    <x v="4"/>
    <s v="Soybean"/>
    <n v="29878.35"/>
    <s v="MT"/>
    <s v="Metric Ton"/>
    <x v="0"/>
    <n v="4"/>
    <n v="2025"/>
  </r>
  <r>
    <d v="2025-04-08T00:00:00"/>
    <s v="UKR"/>
    <x v="6"/>
    <s v="Bulgaria"/>
    <x v="5"/>
    <s v="Soybean Oil"/>
    <n v="24"/>
    <s v="MT"/>
    <s v="Metric Ton"/>
    <x v="0"/>
    <n v="4"/>
    <n v="2025"/>
  </r>
  <r>
    <d v="2025-04-08T00:00:00"/>
    <s v="UKR"/>
    <x v="38"/>
    <s v="Slovakia"/>
    <x v="5"/>
    <s v="Soybean Oil"/>
    <n v="24"/>
    <s v="MT"/>
    <s v="Metric Ton"/>
    <x v="0"/>
    <n v="4"/>
    <n v="2025"/>
  </r>
  <r>
    <d v="2025-04-08T00:00:00"/>
    <s v="UKR"/>
    <x v="14"/>
    <s v="Jordan"/>
    <x v="3"/>
    <s v="Wheat"/>
    <n v="31300"/>
    <s v="MT"/>
    <s v="Metric Ton"/>
    <x v="0"/>
    <n v="4"/>
    <n v="2025"/>
  </r>
  <r>
    <d v="2025-04-08T00:00:00"/>
    <s v="UKR"/>
    <x v="22"/>
    <s v="Greece"/>
    <x v="5"/>
    <s v="Soybean Oil"/>
    <n v="68.260000000000005"/>
    <s v="MT"/>
    <s v="Metric Ton"/>
    <x v="0"/>
    <n v="4"/>
    <n v="2025"/>
  </r>
  <r>
    <d v="2025-04-08T00:00:00"/>
    <s v="UKR"/>
    <x v="2"/>
    <s v="Czech Republic"/>
    <x v="5"/>
    <s v="Soybean Oil"/>
    <n v="48.5"/>
    <s v="MT"/>
    <s v="Metric Ton"/>
    <x v="0"/>
    <n v="4"/>
    <n v="2025"/>
  </r>
  <r>
    <d v="2025-04-08T00:00:00"/>
    <s v="UKR"/>
    <x v="19"/>
    <s v="United Arab Emirates"/>
    <x v="5"/>
    <s v="Soybean Oil"/>
    <n v="576"/>
    <s v="MT"/>
    <s v="Metric Ton"/>
    <x v="0"/>
    <n v="4"/>
    <n v="2025"/>
  </r>
  <r>
    <d v="2025-04-08T00:00:00"/>
    <s v="UKR"/>
    <x v="37"/>
    <s v="Hungary"/>
    <x v="5"/>
    <s v="Soybean Oil"/>
    <n v="47.82"/>
    <s v="MT"/>
    <s v="Metric Ton"/>
    <x v="0"/>
    <n v="4"/>
    <n v="2025"/>
  </r>
  <r>
    <d v="2025-04-08T00:00:00"/>
    <s v="UKR"/>
    <x v="33"/>
    <s v="Malaysia"/>
    <x v="5"/>
    <s v="Soybean Oil"/>
    <n v="264.24"/>
    <s v="MT"/>
    <s v="Metric Ton"/>
    <x v="0"/>
    <n v="4"/>
    <n v="2025"/>
  </r>
  <r>
    <d v="2025-04-08T00:00:00"/>
    <s v="UKR"/>
    <x v="26"/>
    <s v="Others"/>
    <x v="5"/>
    <s v="Soybean Oil"/>
    <n v="96.38"/>
    <s v="MT"/>
    <s v="Metric Ton"/>
    <x v="0"/>
    <n v="4"/>
    <n v="2025"/>
  </r>
  <r>
    <d v="2025-04-08T00:00:00"/>
    <s v="UKR"/>
    <x v="20"/>
    <s v="Latvia"/>
    <x v="5"/>
    <s v="Soybean Oil"/>
    <n v="23.5"/>
    <s v="MT"/>
    <s v="Metric Ton"/>
    <x v="0"/>
    <n v="4"/>
    <n v="2025"/>
  </r>
  <r>
    <d v="2025-04-08T00:00:00"/>
    <s v="UKR"/>
    <x v="0"/>
    <s v="Netherlands"/>
    <x v="6"/>
    <s v="Soybean Meal"/>
    <n v="132"/>
    <s v="MT"/>
    <s v="Metric Ton"/>
    <x v="0"/>
    <n v="4"/>
    <n v="2025"/>
  </r>
  <r>
    <d v="2025-04-08T00:00:00"/>
    <s v="UKR"/>
    <x v="30"/>
    <s v="Romania"/>
    <x v="6"/>
    <s v="Soybean Meal"/>
    <n v="1826.8"/>
    <s v="MT"/>
    <s v="Metric Ton"/>
    <x v="0"/>
    <n v="4"/>
    <n v="2025"/>
  </r>
  <r>
    <d v="2025-04-08T00:00:00"/>
    <s v="UKR"/>
    <x v="16"/>
    <s v="Lithuania"/>
    <x v="6"/>
    <s v="Soybean Meal"/>
    <n v="66.760000000000005"/>
    <s v="MT"/>
    <s v="Metric Ton"/>
    <x v="0"/>
    <n v="4"/>
    <n v="2025"/>
  </r>
  <r>
    <d v="2025-04-08T00:00:00"/>
    <s v="UKR"/>
    <x v="37"/>
    <s v="Hungary"/>
    <x v="6"/>
    <s v="Soybean Meal"/>
    <n v="1458.7"/>
    <s v="MT"/>
    <s v="Metric Ton"/>
    <x v="0"/>
    <n v="4"/>
    <n v="2025"/>
  </r>
  <r>
    <d v="2025-04-08T00:00:00"/>
    <s v="UKR"/>
    <x v="20"/>
    <s v="Latvia"/>
    <x v="6"/>
    <s v="Soybean Meal"/>
    <n v="23"/>
    <s v="MT"/>
    <s v="Metric Ton"/>
    <x v="0"/>
    <n v="4"/>
    <n v="2025"/>
  </r>
  <r>
    <d v="2025-04-08T00:00:00"/>
    <s v="UKR"/>
    <x v="26"/>
    <s v="Others"/>
    <x v="6"/>
    <s v="Soybean Meal"/>
    <n v="89.96"/>
    <s v="MT"/>
    <s v="Metric Ton"/>
    <x v="0"/>
    <n v="4"/>
    <n v="2025"/>
  </r>
  <r>
    <d v="2025-04-08T00:00:00"/>
    <s v="UKR"/>
    <x v="1"/>
    <s v="Germany"/>
    <x v="7"/>
    <s v="Rapeseed"/>
    <n v="5859.75"/>
    <s v="MT"/>
    <s v="Metric Ton"/>
    <x v="0"/>
    <n v="4"/>
    <n v="2025"/>
  </r>
  <r>
    <d v="2025-04-08T00:00:00"/>
    <s v="UKR"/>
    <x v="31"/>
    <s v="Moldova"/>
    <x v="6"/>
    <s v="Soybean Meal"/>
    <n v="687.35"/>
    <s v="MT"/>
    <s v="Metric Ton"/>
    <x v="0"/>
    <n v="4"/>
    <n v="2025"/>
  </r>
  <r>
    <d v="2025-04-08T00:00:00"/>
    <s v="UKR"/>
    <x v="9"/>
    <s v="Italy"/>
    <x v="6"/>
    <s v="Soybean Meal"/>
    <n v="207"/>
    <s v="MT"/>
    <s v="Metric Ton"/>
    <x v="0"/>
    <n v="4"/>
    <n v="2025"/>
  </r>
  <r>
    <d v="2025-04-08T00:00:00"/>
    <s v="UKR"/>
    <x v="6"/>
    <s v="Bulgaria"/>
    <x v="6"/>
    <s v="Soybean Meal"/>
    <n v="223.08"/>
    <s v="MT"/>
    <s v="Metric Ton"/>
    <x v="0"/>
    <n v="4"/>
    <n v="2025"/>
  </r>
  <r>
    <d v="2025-04-08T00:00:00"/>
    <s v="UKR"/>
    <x v="2"/>
    <s v="Czech Republic"/>
    <x v="6"/>
    <s v="Soybean Meal"/>
    <n v="160.47999999999999"/>
    <s v="MT"/>
    <s v="Metric Ton"/>
    <x v="0"/>
    <n v="4"/>
    <n v="2025"/>
  </r>
  <r>
    <d v="2025-04-08T00:00:00"/>
    <s v="UKR"/>
    <x v="0"/>
    <s v="Netherlands"/>
    <x v="7"/>
    <s v="Rapeseed"/>
    <n v="23"/>
    <s v="MT"/>
    <s v="Metric Ton"/>
    <x v="0"/>
    <n v="4"/>
    <n v="2025"/>
  </r>
  <r>
    <d v="2025-04-08T00:00:00"/>
    <s v="UKR"/>
    <x v="2"/>
    <s v="Czech Republic"/>
    <x v="7"/>
    <s v="Rapeseed"/>
    <n v="173.3"/>
    <s v="MT"/>
    <s v="Metric Ton"/>
    <x v="0"/>
    <n v="4"/>
    <n v="2025"/>
  </r>
  <r>
    <d v="2025-04-08T00:00:00"/>
    <s v="UKR"/>
    <x v="1"/>
    <s v="Germany"/>
    <x v="6"/>
    <s v="Soybean Meal"/>
    <n v="92"/>
    <s v="MT"/>
    <s v="Metric Ton"/>
    <x v="0"/>
    <n v="4"/>
    <n v="2025"/>
  </r>
  <r>
    <d v="2025-04-08T00:00:00"/>
    <s v="UKR"/>
    <x v="10"/>
    <s v="Poland"/>
    <x v="6"/>
    <s v="Soybean Meal"/>
    <n v="6292.04"/>
    <s v="MT"/>
    <s v="Metric Ton"/>
    <x v="0"/>
    <n v="4"/>
    <n v="2025"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  <r>
    <m/>
    <m/>
    <x v="39"/>
    <m/>
    <x v="8"/>
    <m/>
    <m/>
    <m/>
    <m/>
    <x v="1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8B5128-5BC1-4556-9EB3-EF43DE5D2427}" name="PivotTable2" cacheId="6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multipleFieldFilters="0">
  <location ref="E3:F19" firstHeaderRow="1" firstDataRow="2" firstDataCol="1" rowPageCount="1" colPageCount="1"/>
  <pivotFields count="12">
    <pivotField showAll="0"/>
    <pivotField showAll="0"/>
    <pivotField axis="axisRow" showAll="0" sortType="descending">
      <items count="41">
        <item x="5"/>
        <item x="4"/>
        <item x="3"/>
        <item x="6"/>
        <item x="25"/>
        <item x="11"/>
        <item x="2"/>
        <item x="1"/>
        <item x="34"/>
        <item x="28"/>
        <item x="12"/>
        <item x="15"/>
        <item x="27"/>
        <item x="17"/>
        <item x="22"/>
        <item x="24"/>
        <item x="37"/>
        <item x="13"/>
        <item x="8"/>
        <item x="21"/>
        <item x="9"/>
        <item x="14"/>
        <item x="18"/>
        <item x="32"/>
        <item x="16"/>
        <item x="20"/>
        <item x="31"/>
        <item x="33"/>
        <item x="0"/>
        <item x="26"/>
        <item x="10"/>
        <item x="30"/>
        <item x="36"/>
        <item x="38"/>
        <item x="35"/>
        <item x="7"/>
        <item x="19"/>
        <item x="23"/>
        <item x="29"/>
        <item x="39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4" count="1" selected="0">
              <x v="7"/>
            </reference>
          </references>
        </pivotArea>
      </autoSortScope>
    </pivotField>
    <pivotField showAll="0"/>
    <pivotField axis="axisCol" showAll="0">
      <items count="10">
        <item h="1" x="2"/>
        <item h="1" x="7"/>
        <item h="1" x="6"/>
        <item h="1" x="5"/>
        <item h="1" x="4"/>
        <item h="1" x="1"/>
        <item h="1" x="0"/>
        <item x="3"/>
        <item h="1" x="8"/>
        <item t="default"/>
      </items>
    </pivotField>
    <pivotField showAll="0"/>
    <pivotField dataField="1"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2"/>
  </rowFields>
  <rowItems count="15">
    <i>
      <x v="8"/>
    </i>
    <i>
      <x v="21"/>
    </i>
    <i>
      <x v="23"/>
    </i>
    <i>
      <x v="20"/>
    </i>
    <i>
      <x v="22"/>
    </i>
    <i>
      <x v="34"/>
    </i>
    <i>
      <x v="9"/>
    </i>
    <i>
      <x v="27"/>
    </i>
    <i>
      <x v="29"/>
    </i>
    <i>
      <x v="17"/>
    </i>
    <i>
      <x v="7"/>
    </i>
    <i>
      <x v="24"/>
    </i>
    <i>
      <x v="6"/>
    </i>
    <i>
      <x v="28"/>
    </i>
    <i t="grand">
      <x/>
    </i>
  </rowItems>
  <colFields count="1">
    <field x="4"/>
  </colFields>
  <colItems count="1">
    <i>
      <x v="7"/>
    </i>
  </colItems>
  <pageFields count="1">
    <pageField fld="9" hier="-1"/>
  </pageFields>
  <dataFields count="1">
    <dataField name="Sum of Quantity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93374E-8826-49E7-BE23-E1FDA893A22C}" name="PivotTable1" cacheId="6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multipleFieldFilters="0">
  <location ref="A3:B20" firstHeaderRow="1" firstDataRow="2" firstDataCol="1" rowPageCount="1" colPageCount="1"/>
  <pivotFields count="12">
    <pivotField showAll="0"/>
    <pivotField showAll="0"/>
    <pivotField axis="axisRow" showAll="0" sortType="descending">
      <items count="41">
        <item x="5"/>
        <item x="4"/>
        <item x="3"/>
        <item x="6"/>
        <item x="25"/>
        <item x="11"/>
        <item x="2"/>
        <item x="1"/>
        <item x="34"/>
        <item x="28"/>
        <item x="12"/>
        <item x="15"/>
        <item x="27"/>
        <item x="17"/>
        <item x="22"/>
        <item x="24"/>
        <item x="37"/>
        <item x="13"/>
        <item x="8"/>
        <item x="21"/>
        <item x="9"/>
        <item x="14"/>
        <item x="18"/>
        <item x="32"/>
        <item x="16"/>
        <item x="20"/>
        <item x="31"/>
        <item x="33"/>
        <item x="0"/>
        <item x="26"/>
        <item x="10"/>
        <item x="30"/>
        <item x="36"/>
        <item x="38"/>
        <item x="35"/>
        <item x="7"/>
        <item x="19"/>
        <item x="23"/>
        <item x="29"/>
        <item x="39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4" count="1" selected="0">
              <x v="0"/>
            </reference>
          </references>
        </pivotArea>
      </autoSortScope>
    </pivotField>
    <pivotField showAll="0"/>
    <pivotField axis="axisCol" showAll="0">
      <items count="10">
        <item x="2"/>
        <item h="1" x="7"/>
        <item h="1" x="6"/>
        <item h="1" x="5"/>
        <item h="1" x="4"/>
        <item h="1" x="1"/>
        <item h="1" x="0"/>
        <item h="1" x="3"/>
        <item h="1" x="8"/>
        <item t="default"/>
      </items>
    </pivotField>
    <pivotField showAll="0"/>
    <pivotField dataField="1"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2"/>
  </rowFields>
  <rowItems count="16">
    <i>
      <x v="5"/>
    </i>
    <i>
      <x v="38"/>
    </i>
    <i>
      <x v="35"/>
    </i>
    <i>
      <x v="20"/>
    </i>
    <i>
      <x v="10"/>
    </i>
    <i>
      <x v="9"/>
    </i>
    <i>
      <x v="14"/>
    </i>
    <i>
      <x v="3"/>
    </i>
    <i>
      <x v="29"/>
    </i>
    <i>
      <x v="28"/>
    </i>
    <i>
      <x v="6"/>
    </i>
    <i>
      <x v="7"/>
    </i>
    <i>
      <x v="26"/>
    </i>
    <i>
      <x v="1"/>
    </i>
    <i>
      <x v="31"/>
    </i>
    <i t="grand">
      <x/>
    </i>
  </rowItems>
  <colFields count="1">
    <field x="4"/>
  </colFields>
  <colItems count="1">
    <i>
      <x/>
    </i>
  </colItems>
  <pageFields count="1">
    <pageField fld="9" hier="-1"/>
  </pageFields>
  <dataFields count="1">
    <dataField name="Sum of Quantity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5340F90-89C0-4BA1-83DD-D97F763D62CC}" autoFormatId="16" applyNumberFormats="0" applyBorderFormats="0" applyFontFormats="0" applyPatternFormats="0" applyAlignmentFormats="0" applyWidthHeightFormats="0">
  <queryTableRefresh nextId="27">
    <queryTableFields count="12">
      <queryTableField id="1" name="Cut-Off Date" tableColumnId="1"/>
      <queryTableField id="4" name="Country Reporter" tableColumnId="4"/>
      <queryTableField id="8" name="Country Partner" tableColumnId="8"/>
      <queryTableField id="9" name="Country Partner_MappedName" tableColumnId="9"/>
      <queryTableField id="12" name="Product" tableColumnId="12"/>
      <queryTableField id="13" name="Product_MappedName" tableColumnId="13"/>
      <queryTableField id="16" name="Quantity" tableColumnId="16"/>
      <queryTableField id="17" name="Quantity Unit" tableColumnId="17"/>
      <queryTableField id="18" name="Quantity Unit_MappedName" tableColumnId="18"/>
      <queryTableField id="20" name="Date Reporter" tableColumnId="20"/>
      <queryTableField id="25" name="Month" tableColumnId="25"/>
      <queryTableField id="26" name="Year" tableColumnId="2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CC194DB-00C4-40BC-959C-DFE322B73781}" name="cfg_unknown_all_ukr_tf_customs_weekly" displayName="cfg_unknown_all_ukr_tf_customs_weekly" ref="A1:L113" tableType="queryTable" totalsRowShown="0">
  <autoFilter ref="A1:L113" xr:uid="{8CC194DB-00C4-40BC-959C-DFE322B73781}"/>
  <tableColumns count="12">
    <tableColumn id="1" xr3:uid="{A11B0F25-B9D1-4E9C-9CB4-B155795ADA79}" uniqueName="1" name="Cut-Off Date" queryTableFieldId="1" dataDxfId="8"/>
    <tableColumn id="4" xr3:uid="{067BF268-9B3F-4973-A020-D2793E245190}" uniqueName="4" name="Country Reporter" queryTableFieldId="4" dataDxfId="7"/>
    <tableColumn id="8" xr3:uid="{60C160CD-B35A-4235-A094-F3BD8CE82E86}" uniqueName="8" name="Country Partner" queryTableFieldId="8" dataDxfId="6"/>
    <tableColumn id="9" xr3:uid="{0EB107FA-0FFB-4868-BD14-A863A366071A}" uniqueName="9" name="Country Partner_MappedName" queryTableFieldId="9" dataDxfId="5"/>
    <tableColumn id="12" xr3:uid="{74B74E23-AD65-4BE4-99FF-4DFE9B4171EA}" uniqueName="12" name="Product" queryTableFieldId="12" dataDxfId="4"/>
    <tableColumn id="13" xr3:uid="{0DE73483-3698-4BD9-B8BB-80A34D702EE7}" uniqueName="13" name="Product_MappedName" queryTableFieldId="13" dataDxfId="3"/>
    <tableColumn id="16" xr3:uid="{EB2F5600-9DAC-4044-B4F4-61094EC40792}" uniqueName="16" name="Quantity" queryTableFieldId="16"/>
    <tableColumn id="17" xr3:uid="{DAF98CC3-C6D7-41F9-A590-0925BE1F2062}" uniqueName="17" name="Quantity Unit" queryTableFieldId="17" dataDxfId="2"/>
    <tableColumn id="18" xr3:uid="{71B15505-84C7-4D95-B6D2-E6367BC2124D}" uniqueName="18" name="Quantity Unit_MappedName" queryTableFieldId="18" dataDxfId="1"/>
    <tableColumn id="20" xr3:uid="{33054542-5BEC-4D25-89E6-8979568CDE30}" uniqueName="20" name="Date Reporter" queryTableFieldId="20" dataDxfId="0"/>
    <tableColumn id="25" xr3:uid="{6EB7D29C-ACB6-42A6-80D1-FCBBB8A07DCF}" uniqueName="25" name="Month" queryTableFieldId="25"/>
    <tableColumn id="26" xr3:uid="{C78498F4-F7FE-4E37-8FFF-6CE5873DB7A6}" uniqueName="26" name="Year" queryTableFieldId="2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398AA-1EB6-479A-8DB3-9AA87F95CEB5}">
  <dimension ref="A1:L113"/>
  <sheetViews>
    <sheetView workbookViewId="0">
      <selection sqref="A1:L1048576"/>
    </sheetView>
  </sheetViews>
  <sheetFormatPr defaultRowHeight="14.5" x14ac:dyDescent="0.35"/>
  <cols>
    <col min="1" max="1" width="14.26953125" bestFit="1" customWidth="1"/>
    <col min="2" max="2" width="18.36328125" bestFit="1" customWidth="1"/>
    <col min="3" max="3" width="17" bestFit="1" customWidth="1"/>
    <col min="4" max="4" width="30.08984375" bestFit="1" customWidth="1"/>
    <col min="5" max="5" width="9.90625" bestFit="1" customWidth="1"/>
    <col min="6" max="6" width="23" bestFit="1" customWidth="1"/>
    <col min="7" max="7" width="10.81640625" bestFit="1" customWidth="1"/>
    <col min="8" max="8" width="14.54296875" bestFit="1" customWidth="1"/>
    <col min="9" max="9" width="27.81640625" bestFit="1" customWidth="1"/>
    <col min="10" max="10" width="15.54296875" bestFit="1" customWidth="1"/>
    <col min="11" max="11" width="8.7265625" bestFit="1" customWidth="1"/>
    <col min="12" max="12" width="7.08984375" bestFit="1" customWidth="1"/>
    <col min="13" max="13" width="29.7265625" bestFit="1" customWidth="1"/>
    <col min="14" max="14" width="38.81640625" bestFit="1" customWidth="1"/>
    <col min="15" max="15" width="73.08984375" bestFit="1" customWidth="1"/>
    <col min="16" max="16" width="15.6328125" bestFit="1" customWidth="1"/>
    <col min="17" max="17" width="28.7265625" bestFit="1" customWidth="1"/>
    <col min="18" max="18" width="10.81640625" bestFit="1" customWidth="1"/>
    <col min="19" max="19" width="14.54296875" bestFit="1" customWidth="1"/>
    <col min="20" max="20" width="27.81640625" bestFit="1" customWidth="1"/>
    <col min="21" max="21" width="23.81640625" bestFit="1" customWidth="1"/>
    <col min="22" max="22" width="15.54296875" bestFit="1" customWidth="1"/>
    <col min="23" max="23" width="9.90625" bestFit="1" customWidth="1"/>
    <col min="24" max="24" width="23" bestFit="1" customWidth="1"/>
    <col min="25" max="25" width="10.90625" bestFit="1" customWidth="1"/>
    <col min="26" max="26" width="24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107</v>
      </c>
      <c r="L1" t="s">
        <v>108</v>
      </c>
    </row>
    <row r="2" spans="1:12" x14ac:dyDescent="0.35">
      <c r="A2" s="1">
        <v>45755</v>
      </c>
      <c r="B2" s="2" t="s">
        <v>10</v>
      </c>
      <c r="C2" s="2" t="s">
        <v>57</v>
      </c>
      <c r="D2" s="2" t="s">
        <v>58</v>
      </c>
      <c r="E2" s="2" t="s">
        <v>59</v>
      </c>
      <c r="F2" s="2" t="s">
        <v>60</v>
      </c>
      <c r="G2">
        <v>22</v>
      </c>
      <c r="H2" s="2" t="s">
        <v>13</v>
      </c>
      <c r="I2" s="2" t="s">
        <v>14</v>
      </c>
      <c r="J2" s="1">
        <v>45753</v>
      </c>
      <c r="K2">
        <v>4</v>
      </c>
      <c r="L2">
        <v>2025</v>
      </c>
    </row>
    <row r="3" spans="1:12" x14ac:dyDescent="0.35">
      <c r="A3" s="1">
        <v>45755</v>
      </c>
      <c r="B3" s="2" t="s">
        <v>10</v>
      </c>
      <c r="C3" s="2" t="s">
        <v>61</v>
      </c>
      <c r="D3" s="2" t="s">
        <v>62</v>
      </c>
      <c r="E3" s="2" t="s">
        <v>59</v>
      </c>
      <c r="F3" s="2" t="s">
        <v>60</v>
      </c>
      <c r="G3">
        <v>22</v>
      </c>
      <c r="H3" s="2" t="s">
        <v>13</v>
      </c>
      <c r="I3" s="2" t="s">
        <v>14</v>
      </c>
      <c r="J3" s="1">
        <v>45753</v>
      </c>
      <c r="K3">
        <v>4</v>
      </c>
      <c r="L3">
        <v>2025</v>
      </c>
    </row>
    <row r="4" spans="1:12" x14ac:dyDescent="0.35">
      <c r="A4" s="1">
        <v>45755</v>
      </c>
      <c r="B4" s="2" t="s">
        <v>10</v>
      </c>
      <c r="C4" s="2" t="s">
        <v>63</v>
      </c>
      <c r="D4" s="2" t="s">
        <v>64</v>
      </c>
      <c r="E4" s="2" t="s">
        <v>59</v>
      </c>
      <c r="F4" s="2" t="s">
        <v>60</v>
      </c>
      <c r="G4">
        <v>149.06</v>
      </c>
      <c r="H4" s="2" t="s">
        <v>13</v>
      </c>
      <c r="I4" s="2" t="s">
        <v>14</v>
      </c>
      <c r="J4" s="1">
        <v>45753</v>
      </c>
      <c r="K4">
        <v>4</v>
      </c>
      <c r="L4">
        <v>2025</v>
      </c>
    </row>
    <row r="5" spans="1:12" x14ac:dyDescent="0.35">
      <c r="A5" s="1">
        <v>45755</v>
      </c>
      <c r="B5" s="2" t="s">
        <v>10</v>
      </c>
      <c r="C5" s="2" t="s">
        <v>47</v>
      </c>
      <c r="D5" s="2" t="s">
        <v>48</v>
      </c>
      <c r="E5" s="2" t="s">
        <v>59</v>
      </c>
      <c r="F5" s="2" t="s">
        <v>60</v>
      </c>
      <c r="G5">
        <v>7.0000000000000007E-2</v>
      </c>
      <c r="H5" s="2" t="s">
        <v>13</v>
      </c>
      <c r="I5" s="2" t="s">
        <v>14</v>
      </c>
      <c r="J5" s="1">
        <v>45753</v>
      </c>
      <c r="K5">
        <v>4</v>
      </c>
      <c r="L5">
        <v>2025</v>
      </c>
    </row>
    <row r="6" spans="1:12" x14ac:dyDescent="0.35">
      <c r="A6" s="1">
        <v>45755</v>
      </c>
      <c r="B6" s="2" t="s">
        <v>10</v>
      </c>
      <c r="C6" s="2" t="s">
        <v>65</v>
      </c>
      <c r="D6" s="2" t="s">
        <v>66</v>
      </c>
      <c r="E6" s="2" t="s">
        <v>59</v>
      </c>
      <c r="F6" s="2" t="s">
        <v>60</v>
      </c>
      <c r="G6">
        <v>2.8250000000000001E-2</v>
      </c>
      <c r="H6" s="2" t="s">
        <v>13</v>
      </c>
      <c r="I6" s="2" t="s">
        <v>14</v>
      </c>
      <c r="J6" s="1">
        <v>45753</v>
      </c>
      <c r="K6">
        <v>4</v>
      </c>
      <c r="L6">
        <v>2025</v>
      </c>
    </row>
    <row r="7" spans="1:12" x14ac:dyDescent="0.35">
      <c r="A7" s="1">
        <v>45755</v>
      </c>
      <c r="B7" s="2" t="s">
        <v>10</v>
      </c>
      <c r="C7" s="2" t="s">
        <v>11</v>
      </c>
      <c r="D7" s="2" t="s">
        <v>12</v>
      </c>
      <c r="E7" s="2" t="s">
        <v>59</v>
      </c>
      <c r="F7" s="2" t="s">
        <v>60</v>
      </c>
      <c r="G7">
        <v>51.75</v>
      </c>
      <c r="H7" s="2" t="s">
        <v>13</v>
      </c>
      <c r="I7" s="2" t="s">
        <v>14</v>
      </c>
      <c r="J7" s="1">
        <v>45753</v>
      </c>
      <c r="K7">
        <v>4</v>
      </c>
      <c r="L7">
        <v>2025</v>
      </c>
    </row>
    <row r="8" spans="1:12" x14ac:dyDescent="0.35">
      <c r="A8" s="1">
        <v>45755</v>
      </c>
      <c r="B8" s="2" t="s">
        <v>10</v>
      </c>
      <c r="C8" s="2" t="s">
        <v>29</v>
      </c>
      <c r="D8" s="2" t="s">
        <v>30</v>
      </c>
      <c r="E8" s="2" t="s">
        <v>59</v>
      </c>
      <c r="F8" s="2" t="s">
        <v>60</v>
      </c>
      <c r="G8">
        <v>126.803</v>
      </c>
      <c r="H8" s="2" t="s">
        <v>13</v>
      </c>
      <c r="I8" s="2" t="s">
        <v>14</v>
      </c>
      <c r="J8" s="1">
        <v>45753</v>
      </c>
      <c r="K8">
        <v>4</v>
      </c>
      <c r="L8">
        <v>2025</v>
      </c>
    </row>
    <row r="9" spans="1:12" x14ac:dyDescent="0.35">
      <c r="A9" s="1">
        <v>45755</v>
      </c>
      <c r="B9" s="2" t="s">
        <v>10</v>
      </c>
      <c r="C9" s="2" t="s">
        <v>37</v>
      </c>
      <c r="D9" s="2" t="s">
        <v>38</v>
      </c>
      <c r="E9" s="2" t="s">
        <v>79</v>
      </c>
      <c r="F9" s="2" t="s">
        <v>80</v>
      </c>
      <c r="G9">
        <v>22073.279999999999</v>
      </c>
      <c r="H9" s="2" t="s">
        <v>13</v>
      </c>
      <c r="I9" s="2" t="s">
        <v>14</v>
      </c>
      <c r="J9" s="1">
        <v>45753</v>
      </c>
      <c r="K9">
        <v>4</v>
      </c>
      <c r="L9">
        <v>2025</v>
      </c>
    </row>
    <row r="10" spans="1:12" x14ac:dyDescent="0.35">
      <c r="A10" s="1">
        <v>45755</v>
      </c>
      <c r="B10" s="2" t="s">
        <v>10</v>
      </c>
      <c r="C10" s="2" t="s">
        <v>81</v>
      </c>
      <c r="D10" s="2" t="s">
        <v>82</v>
      </c>
      <c r="E10" s="2" t="s">
        <v>79</v>
      </c>
      <c r="F10" s="2" t="s">
        <v>80</v>
      </c>
      <c r="G10">
        <v>35000</v>
      </c>
      <c r="H10" s="2" t="s">
        <v>13</v>
      </c>
      <c r="I10" s="2" t="s">
        <v>14</v>
      </c>
      <c r="J10" s="1">
        <v>45753</v>
      </c>
      <c r="K10">
        <v>4</v>
      </c>
      <c r="L10">
        <v>2025</v>
      </c>
    </row>
    <row r="11" spans="1:12" x14ac:dyDescent="0.35">
      <c r="A11" s="1">
        <v>45755</v>
      </c>
      <c r="B11" s="2" t="s">
        <v>10</v>
      </c>
      <c r="C11" s="2" t="s">
        <v>57</v>
      </c>
      <c r="D11" s="2" t="s">
        <v>58</v>
      </c>
      <c r="E11" s="2" t="s">
        <v>79</v>
      </c>
      <c r="F11" s="2" t="s">
        <v>80</v>
      </c>
      <c r="G11">
        <v>13993.6957</v>
      </c>
      <c r="H11" s="2" t="s">
        <v>13</v>
      </c>
      <c r="I11" s="2" t="s">
        <v>14</v>
      </c>
      <c r="J11" s="1">
        <v>45753</v>
      </c>
      <c r="K11">
        <v>4</v>
      </c>
      <c r="L11">
        <v>2025</v>
      </c>
    </row>
    <row r="12" spans="1:12" x14ac:dyDescent="0.35">
      <c r="A12" s="1">
        <v>45755</v>
      </c>
      <c r="B12" s="2" t="s">
        <v>10</v>
      </c>
      <c r="C12" s="2" t="s">
        <v>17</v>
      </c>
      <c r="D12" s="2" t="s">
        <v>18</v>
      </c>
      <c r="E12" s="2" t="s">
        <v>79</v>
      </c>
      <c r="F12" s="2" t="s">
        <v>80</v>
      </c>
      <c r="G12">
        <v>6775.0767999999998</v>
      </c>
      <c r="H12" s="2" t="s">
        <v>13</v>
      </c>
      <c r="I12" s="2" t="s">
        <v>14</v>
      </c>
      <c r="J12" s="1">
        <v>45753</v>
      </c>
      <c r="K12">
        <v>4</v>
      </c>
      <c r="L12">
        <v>2025</v>
      </c>
    </row>
    <row r="13" spans="1:12" x14ac:dyDescent="0.35">
      <c r="A13" s="1">
        <v>45755</v>
      </c>
      <c r="B13" s="2" t="s">
        <v>10</v>
      </c>
      <c r="C13" s="2" t="s">
        <v>15</v>
      </c>
      <c r="D13" s="2" t="s">
        <v>16</v>
      </c>
      <c r="E13" s="2" t="s">
        <v>79</v>
      </c>
      <c r="F13" s="2" t="s">
        <v>80</v>
      </c>
      <c r="G13">
        <v>860.41600000000005</v>
      </c>
      <c r="H13" s="2" t="s">
        <v>13</v>
      </c>
      <c r="I13" s="2" t="s">
        <v>14</v>
      </c>
      <c r="J13" s="1">
        <v>45753</v>
      </c>
      <c r="K13">
        <v>4</v>
      </c>
      <c r="L13">
        <v>2025</v>
      </c>
    </row>
    <row r="14" spans="1:12" x14ac:dyDescent="0.35">
      <c r="A14" s="1">
        <v>45755</v>
      </c>
      <c r="B14" s="2" t="s">
        <v>10</v>
      </c>
      <c r="C14" s="2" t="s">
        <v>53</v>
      </c>
      <c r="D14" s="2" t="s">
        <v>54</v>
      </c>
      <c r="E14" s="2" t="s">
        <v>79</v>
      </c>
      <c r="F14" s="2" t="s">
        <v>80</v>
      </c>
      <c r="G14">
        <v>786.50160000000005</v>
      </c>
      <c r="H14" s="2" t="s">
        <v>13</v>
      </c>
      <c r="I14" s="2" t="s">
        <v>14</v>
      </c>
      <c r="J14" s="1">
        <v>45753</v>
      </c>
      <c r="K14">
        <v>4</v>
      </c>
      <c r="L14">
        <v>2025</v>
      </c>
    </row>
    <row r="15" spans="1:12" x14ac:dyDescent="0.35">
      <c r="A15" s="1">
        <v>45755</v>
      </c>
      <c r="B15" s="2" t="s">
        <v>10</v>
      </c>
      <c r="C15" s="2" t="s">
        <v>27</v>
      </c>
      <c r="D15" s="2" t="s">
        <v>28</v>
      </c>
      <c r="E15" s="2" t="s">
        <v>79</v>
      </c>
      <c r="F15" s="2" t="s">
        <v>80</v>
      </c>
      <c r="G15">
        <v>6702</v>
      </c>
      <c r="H15" s="2" t="s">
        <v>13</v>
      </c>
      <c r="I15" s="2" t="s">
        <v>14</v>
      </c>
      <c r="J15" s="1">
        <v>45753</v>
      </c>
      <c r="K15">
        <v>4</v>
      </c>
      <c r="L15">
        <v>2025</v>
      </c>
    </row>
    <row r="16" spans="1:12" x14ac:dyDescent="0.35">
      <c r="A16" s="1">
        <v>45755</v>
      </c>
      <c r="B16" s="2" t="s">
        <v>10</v>
      </c>
      <c r="C16" s="2" t="s">
        <v>77</v>
      </c>
      <c r="D16" s="2" t="s">
        <v>78</v>
      </c>
      <c r="E16" s="2" t="s">
        <v>79</v>
      </c>
      <c r="F16" s="2" t="s">
        <v>80</v>
      </c>
      <c r="G16">
        <v>9820.64</v>
      </c>
      <c r="H16" s="2" t="s">
        <v>13</v>
      </c>
      <c r="I16" s="2" t="s">
        <v>14</v>
      </c>
      <c r="J16" s="1">
        <v>45753</v>
      </c>
      <c r="K16">
        <v>4</v>
      </c>
      <c r="L16">
        <v>2025</v>
      </c>
    </row>
    <row r="17" spans="1:12" x14ac:dyDescent="0.35">
      <c r="A17" s="1">
        <v>45755</v>
      </c>
      <c r="B17" s="2" t="s">
        <v>10</v>
      </c>
      <c r="C17" s="2" t="s">
        <v>61</v>
      </c>
      <c r="D17" s="2" t="s">
        <v>62</v>
      </c>
      <c r="E17" s="2" t="s">
        <v>79</v>
      </c>
      <c r="F17" s="2" t="s">
        <v>80</v>
      </c>
      <c r="G17">
        <v>40.957000000000001</v>
      </c>
      <c r="H17" s="2" t="s">
        <v>13</v>
      </c>
      <c r="I17" s="2" t="s">
        <v>14</v>
      </c>
      <c r="J17" s="1">
        <v>45753</v>
      </c>
      <c r="K17">
        <v>4</v>
      </c>
      <c r="L17">
        <v>2025</v>
      </c>
    </row>
    <row r="18" spans="1:12" x14ac:dyDescent="0.35">
      <c r="A18" s="1">
        <v>45755</v>
      </c>
      <c r="B18" s="2" t="s">
        <v>10</v>
      </c>
      <c r="C18" s="2" t="s">
        <v>83</v>
      </c>
      <c r="D18" s="2" t="s">
        <v>84</v>
      </c>
      <c r="E18" s="2" t="s">
        <v>79</v>
      </c>
      <c r="F18" s="2" t="s">
        <v>80</v>
      </c>
      <c r="G18">
        <v>646.70399999999995</v>
      </c>
      <c r="H18" s="2" t="s">
        <v>13</v>
      </c>
      <c r="I18" s="2" t="s">
        <v>14</v>
      </c>
      <c r="J18" s="1">
        <v>45753</v>
      </c>
      <c r="K18">
        <v>4</v>
      </c>
      <c r="L18">
        <v>2025</v>
      </c>
    </row>
    <row r="19" spans="1:12" x14ac:dyDescent="0.35">
      <c r="A19" s="1">
        <v>45755</v>
      </c>
      <c r="B19" s="2" t="s">
        <v>10</v>
      </c>
      <c r="C19" s="2" t="s">
        <v>29</v>
      </c>
      <c r="D19" s="2" t="s">
        <v>30</v>
      </c>
      <c r="E19" s="2" t="s">
        <v>79</v>
      </c>
      <c r="F19" s="2" t="s">
        <v>80</v>
      </c>
      <c r="G19">
        <v>179.196</v>
      </c>
      <c r="H19" s="2" t="s">
        <v>13</v>
      </c>
      <c r="I19" s="2" t="s">
        <v>14</v>
      </c>
      <c r="J19" s="1">
        <v>45753</v>
      </c>
      <c r="K19">
        <v>4</v>
      </c>
      <c r="L19">
        <v>2025</v>
      </c>
    </row>
    <row r="20" spans="1:12" x14ac:dyDescent="0.35">
      <c r="A20" s="1">
        <v>45755</v>
      </c>
      <c r="B20" s="2" t="s">
        <v>10</v>
      </c>
      <c r="C20" s="2" t="s">
        <v>69</v>
      </c>
      <c r="D20" s="2" t="s">
        <v>70</v>
      </c>
      <c r="E20" s="2" t="s">
        <v>79</v>
      </c>
      <c r="F20" s="2" t="s">
        <v>80</v>
      </c>
      <c r="G20">
        <v>781.90251999999998</v>
      </c>
      <c r="H20" s="2" t="s">
        <v>13</v>
      </c>
      <c r="I20" s="2" t="s">
        <v>14</v>
      </c>
      <c r="J20" s="1">
        <v>45753</v>
      </c>
      <c r="K20">
        <v>4</v>
      </c>
      <c r="L20">
        <v>2025</v>
      </c>
    </row>
    <row r="21" spans="1:12" x14ac:dyDescent="0.35">
      <c r="A21" s="1">
        <v>45755</v>
      </c>
      <c r="B21" s="2" t="s">
        <v>10</v>
      </c>
      <c r="C21" s="2" t="s">
        <v>51</v>
      </c>
      <c r="D21" s="2" t="s">
        <v>52</v>
      </c>
      <c r="E21" s="2" t="s">
        <v>79</v>
      </c>
      <c r="F21" s="2" t="s">
        <v>80</v>
      </c>
      <c r="G21">
        <v>267.03199999999998</v>
      </c>
      <c r="H21" s="2" t="s">
        <v>13</v>
      </c>
      <c r="I21" s="2" t="s">
        <v>14</v>
      </c>
      <c r="J21" s="1">
        <v>45753</v>
      </c>
      <c r="K21">
        <v>4</v>
      </c>
      <c r="L21">
        <v>2025</v>
      </c>
    </row>
    <row r="22" spans="1:12" x14ac:dyDescent="0.35">
      <c r="A22" s="1">
        <v>45755</v>
      </c>
      <c r="B22" s="2" t="s">
        <v>10</v>
      </c>
      <c r="C22" s="2" t="s">
        <v>21</v>
      </c>
      <c r="D22" s="2" t="s">
        <v>22</v>
      </c>
      <c r="E22" s="2" t="s">
        <v>79</v>
      </c>
      <c r="F22" s="2" t="s">
        <v>80</v>
      </c>
      <c r="G22">
        <v>61.850999999999999</v>
      </c>
      <c r="H22" s="2" t="s">
        <v>13</v>
      </c>
      <c r="I22" s="2" t="s">
        <v>14</v>
      </c>
      <c r="J22" s="1">
        <v>45753</v>
      </c>
      <c r="K22">
        <v>4</v>
      </c>
      <c r="L22">
        <v>2025</v>
      </c>
    </row>
    <row r="23" spans="1:12" x14ac:dyDescent="0.35">
      <c r="A23" s="1">
        <v>45755</v>
      </c>
      <c r="B23" s="2" t="s">
        <v>10</v>
      </c>
      <c r="C23" s="2" t="s">
        <v>41</v>
      </c>
      <c r="D23" s="2" t="s">
        <v>42</v>
      </c>
      <c r="E23" s="2" t="s">
        <v>79</v>
      </c>
      <c r="F23" s="2" t="s">
        <v>80</v>
      </c>
      <c r="G23">
        <v>98.11</v>
      </c>
      <c r="H23" s="2" t="s">
        <v>13</v>
      </c>
      <c r="I23" s="2" t="s">
        <v>14</v>
      </c>
      <c r="J23" s="1">
        <v>45753</v>
      </c>
      <c r="K23">
        <v>4</v>
      </c>
      <c r="L23">
        <v>2025</v>
      </c>
    </row>
    <row r="24" spans="1:12" x14ac:dyDescent="0.35">
      <c r="A24" s="1">
        <v>45755</v>
      </c>
      <c r="B24" s="2" t="s">
        <v>10</v>
      </c>
      <c r="C24" s="2" t="s">
        <v>43</v>
      </c>
      <c r="D24" s="2" t="s">
        <v>44</v>
      </c>
      <c r="E24" s="2" t="s">
        <v>79</v>
      </c>
      <c r="F24" s="2" t="s">
        <v>80</v>
      </c>
      <c r="G24">
        <v>203.76</v>
      </c>
      <c r="H24" s="2" t="s">
        <v>13</v>
      </c>
      <c r="I24" s="2" t="s">
        <v>14</v>
      </c>
      <c r="J24" s="1">
        <v>45753</v>
      </c>
      <c r="K24">
        <v>4</v>
      </c>
      <c r="L24">
        <v>2025</v>
      </c>
    </row>
    <row r="25" spans="1:12" x14ac:dyDescent="0.35">
      <c r="A25" s="1">
        <v>45755</v>
      </c>
      <c r="B25" s="2" t="s">
        <v>10</v>
      </c>
      <c r="C25" s="2" t="s">
        <v>65</v>
      </c>
      <c r="D25" s="2" t="s">
        <v>66</v>
      </c>
      <c r="E25" s="2" t="s">
        <v>79</v>
      </c>
      <c r="F25" s="2" t="s">
        <v>80</v>
      </c>
      <c r="G25">
        <v>451.81479999999999</v>
      </c>
      <c r="H25" s="2" t="s">
        <v>13</v>
      </c>
      <c r="I25" s="2" t="s">
        <v>14</v>
      </c>
      <c r="J25" s="1">
        <v>45753</v>
      </c>
      <c r="K25">
        <v>4</v>
      </c>
      <c r="L25">
        <v>2025</v>
      </c>
    </row>
    <row r="26" spans="1:12" x14ac:dyDescent="0.35">
      <c r="A26" s="1">
        <v>45755</v>
      </c>
      <c r="B26" s="2" t="s">
        <v>10</v>
      </c>
      <c r="C26" s="2" t="s">
        <v>85</v>
      </c>
      <c r="D26" s="2" t="s">
        <v>86</v>
      </c>
      <c r="E26" s="2" t="s">
        <v>79</v>
      </c>
      <c r="F26" s="2" t="s">
        <v>80</v>
      </c>
      <c r="G26">
        <v>92.523200000000003</v>
      </c>
      <c r="H26" s="2" t="s">
        <v>13</v>
      </c>
      <c r="I26" s="2" t="s">
        <v>14</v>
      </c>
      <c r="J26" s="1">
        <v>45753</v>
      </c>
      <c r="K26">
        <v>4</v>
      </c>
      <c r="L26">
        <v>2025</v>
      </c>
    </row>
    <row r="27" spans="1:12" x14ac:dyDescent="0.35">
      <c r="A27" s="1">
        <v>45755</v>
      </c>
      <c r="B27" s="2" t="s">
        <v>10</v>
      </c>
      <c r="C27" s="2" t="s">
        <v>87</v>
      </c>
      <c r="D27" s="2" t="s">
        <v>88</v>
      </c>
      <c r="E27" s="2" t="s">
        <v>79</v>
      </c>
      <c r="F27" s="2" t="s">
        <v>80</v>
      </c>
      <c r="G27">
        <v>419.14240000000001</v>
      </c>
      <c r="H27" s="2" t="s">
        <v>13</v>
      </c>
      <c r="I27" s="2" t="s">
        <v>14</v>
      </c>
      <c r="J27" s="1">
        <v>45753</v>
      </c>
      <c r="K27">
        <v>4</v>
      </c>
      <c r="L27">
        <v>2025</v>
      </c>
    </row>
    <row r="28" spans="1:12" x14ac:dyDescent="0.35">
      <c r="A28" s="1">
        <v>45755</v>
      </c>
      <c r="B28" s="2" t="s">
        <v>10</v>
      </c>
      <c r="C28" s="2" t="s">
        <v>39</v>
      </c>
      <c r="D28" s="2" t="s">
        <v>40</v>
      </c>
      <c r="E28" s="2" t="s">
        <v>79</v>
      </c>
      <c r="F28" s="2" t="s">
        <v>80</v>
      </c>
      <c r="G28">
        <v>161.02600000000001</v>
      </c>
      <c r="H28" s="2" t="s">
        <v>13</v>
      </c>
      <c r="I28" s="2" t="s">
        <v>14</v>
      </c>
      <c r="J28" s="1">
        <v>45753</v>
      </c>
      <c r="K28">
        <v>4</v>
      </c>
      <c r="L28">
        <v>2025</v>
      </c>
    </row>
    <row r="29" spans="1:12" x14ac:dyDescent="0.35">
      <c r="A29" s="1">
        <v>45755</v>
      </c>
      <c r="B29" s="2" t="s">
        <v>10</v>
      </c>
      <c r="C29" s="2" t="s">
        <v>31</v>
      </c>
      <c r="D29" s="2" t="s">
        <v>32</v>
      </c>
      <c r="E29" s="2" t="s">
        <v>79</v>
      </c>
      <c r="F29" s="2" t="s">
        <v>80</v>
      </c>
      <c r="G29">
        <v>316.404</v>
      </c>
      <c r="H29" s="2" t="s">
        <v>13</v>
      </c>
      <c r="I29" s="2" t="s">
        <v>14</v>
      </c>
      <c r="J29" s="1">
        <v>45753</v>
      </c>
      <c r="K29">
        <v>4</v>
      </c>
      <c r="L29">
        <v>2025</v>
      </c>
    </row>
    <row r="30" spans="1:12" x14ac:dyDescent="0.35">
      <c r="A30" s="1">
        <v>45755</v>
      </c>
      <c r="B30" s="2" t="s">
        <v>10</v>
      </c>
      <c r="C30" s="2" t="s">
        <v>49</v>
      </c>
      <c r="D30" s="2" t="s">
        <v>50</v>
      </c>
      <c r="E30" s="2" t="s">
        <v>79</v>
      </c>
      <c r="F30" s="2" t="s">
        <v>80</v>
      </c>
      <c r="G30">
        <v>43.718400000000003</v>
      </c>
      <c r="H30" s="2" t="s">
        <v>13</v>
      </c>
      <c r="I30" s="2" t="s">
        <v>14</v>
      </c>
      <c r="J30" s="1">
        <v>45753</v>
      </c>
      <c r="K30">
        <v>4</v>
      </c>
      <c r="L30">
        <v>2025</v>
      </c>
    </row>
    <row r="31" spans="1:12" x14ac:dyDescent="0.35">
      <c r="A31" s="1">
        <v>45755</v>
      </c>
      <c r="B31" s="2" t="s">
        <v>10</v>
      </c>
      <c r="C31" s="2" t="s">
        <v>89</v>
      </c>
      <c r="D31" s="2" t="s">
        <v>90</v>
      </c>
      <c r="E31" s="2" t="s">
        <v>79</v>
      </c>
      <c r="F31" s="2" t="s">
        <v>80</v>
      </c>
      <c r="G31">
        <v>283.17615999999998</v>
      </c>
      <c r="H31" s="2" t="s">
        <v>13</v>
      </c>
      <c r="I31" s="2" t="s">
        <v>14</v>
      </c>
      <c r="J31" s="1">
        <v>45753</v>
      </c>
      <c r="K31">
        <v>4</v>
      </c>
      <c r="L31">
        <v>2025</v>
      </c>
    </row>
    <row r="32" spans="1:12" x14ac:dyDescent="0.35">
      <c r="A32" s="1">
        <v>45755</v>
      </c>
      <c r="B32" s="2" t="s">
        <v>10</v>
      </c>
      <c r="C32" s="2" t="s">
        <v>19</v>
      </c>
      <c r="D32" s="2" t="s">
        <v>20</v>
      </c>
      <c r="E32" s="2" t="s">
        <v>79</v>
      </c>
      <c r="F32" s="2" t="s">
        <v>80</v>
      </c>
      <c r="G32">
        <v>1939.5006699999999</v>
      </c>
      <c r="H32" s="2" t="s">
        <v>13</v>
      </c>
      <c r="I32" s="2" t="s">
        <v>14</v>
      </c>
      <c r="J32" s="1">
        <v>45753</v>
      </c>
      <c r="K32">
        <v>4</v>
      </c>
      <c r="L32">
        <v>2025</v>
      </c>
    </row>
    <row r="33" spans="1:12" x14ac:dyDescent="0.35">
      <c r="A33" s="1">
        <v>45755</v>
      </c>
      <c r="B33" s="2" t="s">
        <v>10</v>
      </c>
      <c r="C33" s="2" t="s">
        <v>37</v>
      </c>
      <c r="D33" s="2" t="s">
        <v>38</v>
      </c>
      <c r="E33" s="2" t="s">
        <v>73</v>
      </c>
      <c r="F33" s="2" t="s">
        <v>74</v>
      </c>
      <c r="G33">
        <v>40139.79</v>
      </c>
      <c r="H33" s="2" t="s">
        <v>13</v>
      </c>
      <c r="I33" s="2" t="s">
        <v>14</v>
      </c>
      <c r="J33" s="1">
        <v>45753</v>
      </c>
      <c r="K33">
        <v>4</v>
      </c>
      <c r="L33">
        <v>2025</v>
      </c>
    </row>
    <row r="34" spans="1:12" x14ac:dyDescent="0.35">
      <c r="A34" s="1">
        <v>45755</v>
      </c>
      <c r="B34" s="2" t="s">
        <v>10</v>
      </c>
      <c r="C34" s="2" t="s">
        <v>57</v>
      </c>
      <c r="D34" s="2" t="s">
        <v>58</v>
      </c>
      <c r="E34" s="2" t="s">
        <v>73</v>
      </c>
      <c r="F34" s="2" t="s">
        <v>74</v>
      </c>
      <c r="G34">
        <v>710.23</v>
      </c>
      <c r="H34" s="2" t="s">
        <v>13</v>
      </c>
      <c r="I34" s="2" t="s">
        <v>14</v>
      </c>
      <c r="J34" s="1">
        <v>45753</v>
      </c>
      <c r="K34">
        <v>4</v>
      </c>
      <c r="L34">
        <v>2025</v>
      </c>
    </row>
    <row r="35" spans="1:12" x14ac:dyDescent="0.35">
      <c r="A35" s="1">
        <v>45755</v>
      </c>
      <c r="B35" s="2" t="s">
        <v>10</v>
      </c>
      <c r="C35" s="2" t="s">
        <v>55</v>
      </c>
      <c r="D35" s="2" t="s">
        <v>56</v>
      </c>
      <c r="E35" s="2" t="s">
        <v>79</v>
      </c>
      <c r="F35" s="2" t="s">
        <v>80</v>
      </c>
      <c r="G35">
        <v>383.27963999999997</v>
      </c>
      <c r="H35" s="2" t="s">
        <v>13</v>
      </c>
      <c r="I35" s="2" t="s">
        <v>14</v>
      </c>
      <c r="J35" s="1">
        <v>45753</v>
      </c>
      <c r="K35">
        <v>4</v>
      </c>
      <c r="L35">
        <v>2025</v>
      </c>
    </row>
    <row r="36" spans="1:12" x14ac:dyDescent="0.35">
      <c r="A36" s="1">
        <v>45755</v>
      </c>
      <c r="B36" s="2" t="s">
        <v>10</v>
      </c>
      <c r="C36" s="2" t="s">
        <v>17</v>
      </c>
      <c r="D36" s="2" t="s">
        <v>18</v>
      </c>
      <c r="E36" s="2" t="s">
        <v>73</v>
      </c>
      <c r="F36" s="2" t="s">
        <v>74</v>
      </c>
      <c r="G36">
        <v>34870.71</v>
      </c>
      <c r="H36" s="2" t="s">
        <v>13</v>
      </c>
      <c r="I36" s="2" t="s">
        <v>14</v>
      </c>
      <c r="J36" s="1">
        <v>45753</v>
      </c>
      <c r="K36">
        <v>4</v>
      </c>
      <c r="L36">
        <v>2025</v>
      </c>
    </row>
    <row r="37" spans="1:12" x14ac:dyDescent="0.35">
      <c r="A37" s="1">
        <v>45755</v>
      </c>
      <c r="B37" s="2" t="s">
        <v>10</v>
      </c>
      <c r="C37" s="2" t="s">
        <v>53</v>
      </c>
      <c r="D37" s="2" t="s">
        <v>54</v>
      </c>
      <c r="E37" s="2" t="s">
        <v>73</v>
      </c>
      <c r="F37" s="2" t="s">
        <v>74</v>
      </c>
      <c r="G37">
        <v>62949.96</v>
      </c>
      <c r="H37" s="2" t="s">
        <v>13</v>
      </c>
      <c r="I37" s="2" t="s">
        <v>14</v>
      </c>
      <c r="J37" s="1">
        <v>45753</v>
      </c>
      <c r="K37">
        <v>4</v>
      </c>
      <c r="L37">
        <v>2025</v>
      </c>
    </row>
    <row r="38" spans="1:12" x14ac:dyDescent="0.35">
      <c r="A38" s="1">
        <v>45755</v>
      </c>
      <c r="B38" s="2" t="s">
        <v>10</v>
      </c>
      <c r="C38" s="2" t="s">
        <v>67</v>
      </c>
      <c r="D38" s="2" t="s">
        <v>68</v>
      </c>
      <c r="E38" s="2" t="s">
        <v>73</v>
      </c>
      <c r="F38" s="2" t="s">
        <v>74</v>
      </c>
      <c r="G38">
        <v>28675.945</v>
      </c>
      <c r="H38" s="2" t="s">
        <v>13</v>
      </c>
      <c r="I38" s="2" t="s">
        <v>14</v>
      </c>
      <c r="J38" s="1">
        <v>45753</v>
      </c>
      <c r="K38">
        <v>4</v>
      </c>
      <c r="L38">
        <v>2025</v>
      </c>
    </row>
    <row r="39" spans="1:12" x14ac:dyDescent="0.35">
      <c r="A39" s="1">
        <v>45755</v>
      </c>
      <c r="B39" s="2" t="s">
        <v>10</v>
      </c>
      <c r="C39" s="2" t="s">
        <v>27</v>
      </c>
      <c r="D39" s="2" t="s">
        <v>28</v>
      </c>
      <c r="E39" s="2" t="s">
        <v>73</v>
      </c>
      <c r="F39" s="2" t="s">
        <v>74</v>
      </c>
      <c r="G39">
        <v>30200</v>
      </c>
      <c r="H39" s="2" t="s">
        <v>13</v>
      </c>
      <c r="I39" s="2" t="s">
        <v>14</v>
      </c>
      <c r="J39" s="1">
        <v>45753</v>
      </c>
      <c r="K39">
        <v>4</v>
      </c>
      <c r="L39">
        <v>2025</v>
      </c>
    </row>
    <row r="40" spans="1:12" x14ac:dyDescent="0.35">
      <c r="A40" s="1">
        <v>45755</v>
      </c>
      <c r="B40" s="2" t="s">
        <v>10</v>
      </c>
      <c r="C40" s="2" t="s">
        <v>71</v>
      </c>
      <c r="D40" s="2" t="s">
        <v>72</v>
      </c>
      <c r="E40" s="2" t="s">
        <v>73</v>
      </c>
      <c r="F40" s="2" t="s">
        <v>74</v>
      </c>
      <c r="G40">
        <v>60756.53</v>
      </c>
      <c r="H40" s="2" t="s">
        <v>13</v>
      </c>
      <c r="I40" s="2" t="s">
        <v>14</v>
      </c>
      <c r="J40" s="1">
        <v>45753</v>
      </c>
      <c r="K40">
        <v>4</v>
      </c>
      <c r="L40">
        <v>2025</v>
      </c>
    </row>
    <row r="41" spans="1:12" x14ac:dyDescent="0.35">
      <c r="A41" s="1">
        <v>45755</v>
      </c>
      <c r="B41" s="2" t="s">
        <v>10</v>
      </c>
      <c r="C41" s="2" t="s">
        <v>61</v>
      </c>
      <c r="D41" s="2" t="s">
        <v>62</v>
      </c>
      <c r="E41" s="2" t="s">
        <v>73</v>
      </c>
      <c r="F41" s="2" t="s">
        <v>74</v>
      </c>
      <c r="G41">
        <v>45.82</v>
      </c>
      <c r="H41" s="2" t="s">
        <v>13</v>
      </c>
      <c r="I41" s="2" t="s">
        <v>14</v>
      </c>
      <c r="J41" s="1">
        <v>45753</v>
      </c>
      <c r="K41">
        <v>4</v>
      </c>
      <c r="L41">
        <v>2025</v>
      </c>
    </row>
    <row r="42" spans="1:12" x14ac:dyDescent="0.35">
      <c r="A42" s="1">
        <v>45755</v>
      </c>
      <c r="B42" s="2" t="s">
        <v>10</v>
      </c>
      <c r="C42" s="2" t="s">
        <v>33</v>
      </c>
      <c r="D42" s="2" t="s">
        <v>34</v>
      </c>
      <c r="E42" s="2" t="s">
        <v>73</v>
      </c>
      <c r="F42" s="2" t="s">
        <v>74</v>
      </c>
      <c r="G42">
        <v>2.9700000000000001E-2</v>
      </c>
      <c r="H42" s="2" t="s">
        <v>13</v>
      </c>
      <c r="I42" s="2" t="s">
        <v>14</v>
      </c>
      <c r="J42" s="1">
        <v>45753</v>
      </c>
      <c r="K42">
        <v>4</v>
      </c>
      <c r="L42">
        <v>2025</v>
      </c>
    </row>
    <row r="43" spans="1:12" x14ac:dyDescent="0.35">
      <c r="A43" s="1">
        <v>45755</v>
      </c>
      <c r="B43" s="2" t="s">
        <v>10</v>
      </c>
      <c r="C43" s="2" t="s">
        <v>35</v>
      </c>
      <c r="D43" s="2" t="s">
        <v>36</v>
      </c>
      <c r="E43" s="2" t="s">
        <v>73</v>
      </c>
      <c r="F43" s="2" t="s">
        <v>74</v>
      </c>
      <c r="G43">
        <v>37.792560000000002</v>
      </c>
      <c r="H43" s="2" t="s">
        <v>13</v>
      </c>
      <c r="I43" s="2" t="s">
        <v>14</v>
      </c>
      <c r="J43" s="1">
        <v>45753</v>
      </c>
      <c r="K43">
        <v>4</v>
      </c>
      <c r="L43">
        <v>2025</v>
      </c>
    </row>
    <row r="44" spans="1:12" x14ac:dyDescent="0.35">
      <c r="A44" s="1">
        <v>45755</v>
      </c>
      <c r="B44" s="2" t="s">
        <v>10</v>
      </c>
      <c r="C44" s="2" t="s">
        <v>35</v>
      </c>
      <c r="D44" s="2" t="s">
        <v>36</v>
      </c>
      <c r="E44" s="2" t="s">
        <v>79</v>
      </c>
      <c r="F44" s="2" t="s">
        <v>80</v>
      </c>
      <c r="G44">
        <v>186.75040000000001</v>
      </c>
      <c r="H44" s="2" t="s">
        <v>13</v>
      </c>
      <c r="I44" s="2" t="s">
        <v>14</v>
      </c>
      <c r="J44" s="1">
        <v>45753</v>
      </c>
      <c r="K44">
        <v>4</v>
      </c>
      <c r="L44">
        <v>2025</v>
      </c>
    </row>
    <row r="45" spans="1:12" x14ac:dyDescent="0.35">
      <c r="A45" s="1">
        <v>45755</v>
      </c>
      <c r="B45" s="2" t="s">
        <v>10</v>
      </c>
      <c r="C45" s="2" t="s">
        <v>91</v>
      </c>
      <c r="D45" s="2" t="s">
        <v>92</v>
      </c>
      <c r="E45" s="2" t="s">
        <v>79</v>
      </c>
      <c r="F45" s="2" t="s">
        <v>80</v>
      </c>
      <c r="G45">
        <v>73.1952</v>
      </c>
      <c r="H45" s="2" t="s">
        <v>13</v>
      </c>
      <c r="I45" s="2" t="s">
        <v>14</v>
      </c>
      <c r="J45" s="1">
        <v>45753</v>
      </c>
      <c r="K45">
        <v>4</v>
      </c>
      <c r="L45">
        <v>2025</v>
      </c>
    </row>
    <row r="46" spans="1:12" x14ac:dyDescent="0.35">
      <c r="A46" s="1">
        <v>45755</v>
      </c>
      <c r="B46" s="2" t="s">
        <v>10</v>
      </c>
      <c r="C46" s="2" t="s">
        <v>63</v>
      </c>
      <c r="D46" s="2" t="s">
        <v>64</v>
      </c>
      <c r="E46" s="2" t="s">
        <v>79</v>
      </c>
      <c r="F46" s="2" t="s">
        <v>80</v>
      </c>
      <c r="G46">
        <v>155.16120000000001</v>
      </c>
      <c r="H46" s="2" t="s">
        <v>13</v>
      </c>
      <c r="I46" s="2" t="s">
        <v>14</v>
      </c>
      <c r="J46" s="1">
        <v>45753</v>
      </c>
      <c r="K46">
        <v>4</v>
      </c>
      <c r="L46">
        <v>2025</v>
      </c>
    </row>
    <row r="47" spans="1:12" x14ac:dyDescent="0.35">
      <c r="A47" s="1">
        <v>45755</v>
      </c>
      <c r="B47" s="2" t="s">
        <v>10</v>
      </c>
      <c r="C47" s="2" t="s">
        <v>33</v>
      </c>
      <c r="D47" s="2" t="s">
        <v>34</v>
      </c>
      <c r="E47" s="2" t="s">
        <v>79</v>
      </c>
      <c r="F47" s="2" t="s">
        <v>80</v>
      </c>
      <c r="G47">
        <v>159.75023999999999</v>
      </c>
      <c r="H47" s="2" t="s">
        <v>13</v>
      </c>
      <c r="I47" s="2" t="s">
        <v>14</v>
      </c>
      <c r="J47" s="1">
        <v>45753</v>
      </c>
      <c r="K47">
        <v>4</v>
      </c>
      <c r="L47">
        <v>2025</v>
      </c>
    </row>
    <row r="48" spans="1:12" x14ac:dyDescent="0.35">
      <c r="A48" s="1">
        <v>45755</v>
      </c>
      <c r="B48" s="2" t="s">
        <v>10</v>
      </c>
      <c r="C48" s="2" t="s">
        <v>75</v>
      </c>
      <c r="D48" s="2" t="s">
        <v>76</v>
      </c>
      <c r="E48" s="2" t="s">
        <v>79</v>
      </c>
      <c r="F48" s="2" t="s">
        <v>80</v>
      </c>
      <c r="G48">
        <v>425.26</v>
      </c>
      <c r="H48" s="2" t="s">
        <v>13</v>
      </c>
      <c r="I48" s="2" t="s">
        <v>14</v>
      </c>
      <c r="J48" s="1">
        <v>45753</v>
      </c>
      <c r="K48">
        <v>4</v>
      </c>
      <c r="L48">
        <v>2025</v>
      </c>
    </row>
    <row r="49" spans="1:12" x14ac:dyDescent="0.35">
      <c r="A49" s="1">
        <v>45755</v>
      </c>
      <c r="B49" s="2" t="s">
        <v>10</v>
      </c>
      <c r="C49" s="2" t="s">
        <v>29</v>
      </c>
      <c r="D49" s="2" t="s">
        <v>30</v>
      </c>
      <c r="E49" s="2" t="s">
        <v>73</v>
      </c>
      <c r="F49" s="2" t="s">
        <v>74</v>
      </c>
      <c r="G49">
        <v>4128.08</v>
      </c>
      <c r="H49" s="2" t="s">
        <v>13</v>
      </c>
      <c r="I49" s="2" t="s">
        <v>14</v>
      </c>
      <c r="J49" s="1">
        <v>45753</v>
      </c>
      <c r="K49">
        <v>4</v>
      </c>
      <c r="L49">
        <v>2025</v>
      </c>
    </row>
    <row r="50" spans="1:12" x14ac:dyDescent="0.35">
      <c r="A50" s="1">
        <v>45755</v>
      </c>
      <c r="B50" s="2" t="s">
        <v>10</v>
      </c>
      <c r="C50" s="2" t="s">
        <v>39</v>
      </c>
      <c r="D50" s="2" t="s">
        <v>40</v>
      </c>
      <c r="E50" s="2" t="s">
        <v>73</v>
      </c>
      <c r="F50" s="2" t="s">
        <v>74</v>
      </c>
      <c r="G50">
        <v>6598.93</v>
      </c>
      <c r="H50" s="2" t="s">
        <v>13</v>
      </c>
      <c r="I50" s="2" t="s">
        <v>14</v>
      </c>
      <c r="J50" s="1">
        <v>45753</v>
      </c>
      <c r="K50">
        <v>4</v>
      </c>
      <c r="L50">
        <v>2025</v>
      </c>
    </row>
    <row r="51" spans="1:12" x14ac:dyDescent="0.35">
      <c r="A51" s="1">
        <v>45755</v>
      </c>
      <c r="B51" s="2" t="s">
        <v>10</v>
      </c>
      <c r="C51" s="2" t="s">
        <v>63</v>
      </c>
      <c r="D51" s="2" t="s">
        <v>64</v>
      </c>
      <c r="E51" s="2" t="s">
        <v>73</v>
      </c>
      <c r="F51" s="2" t="s">
        <v>74</v>
      </c>
      <c r="G51">
        <v>46.2</v>
      </c>
      <c r="H51" s="2" t="s">
        <v>13</v>
      </c>
      <c r="I51" s="2" t="s">
        <v>14</v>
      </c>
      <c r="J51" s="1">
        <v>45753</v>
      </c>
      <c r="K51">
        <v>4</v>
      </c>
      <c r="L51">
        <v>2025</v>
      </c>
    </row>
    <row r="52" spans="1:12" x14ac:dyDescent="0.35">
      <c r="A52" s="1">
        <v>45755</v>
      </c>
      <c r="B52" s="2" t="s">
        <v>10</v>
      </c>
      <c r="C52" s="2" t="s">
        <v>65</v>
      </c>
      <c r="D52" s="2" t="s">
        <v>66</v>
      </c>
      <c r="E52" s="2" t="s">
        <v>73</v>
      </c>
      <c r="F52" s="2" t="s">
        <v>74</v>
      </c>
      <c r="G52">
        <v>6.7299999999999999E-2</v>
      </c>
      <c r="H52" s="2" t="s">
        <v>13</v>
      </c>
      <c r="I52" s="2" t="s">
        <v>14</v>
      </c>
      <c r="J52" s="1">
        <v>45753</v>
      </c>
      <c r="K52">
        <v>4</v>
      </c>
      <c r="L52">
        <v>2025</v>
      </c>
    </row>
    <row r="53" spans="1:12" x14ac:dyDescent="0.35">
      <c r="A53" s="1">
        <v>45755</v>
      </c>
      <c r="B53" s="2" t="s">
        <v>10</v>
      </c>
      <c r="C53" s="2" t="s">
        <v>19</v>
      </c>
      <c r="D53" s="2" t="s">
        <v>20</v>
      </c>
      <c r="E53" s="2" t="s">
        <v>73</v>
      </c>
      <c r="F53" s="2" t="s">
        <v>74</v>
      </c>
      <c r="G53">
        <v>1097.43</v>
      </c>
      <c r="H53" s="2" t="s">
        <v>13</v>
      </c>
      <c r="I53" s="2" t="s">
        <v>14</v>
      </c>
      <c r="J53" s="1">
        <v>45753</v>
      </c>
      <c r="K53">
        <v>4</v>
      </c>
      <c r="L53">
        <v>2025</v>
      </c>
    </row>
    <row r="54" spans="1:12" x14ac:dyDescent="0.35">
      <c r="A54" s="1">
        <v>45755</v>
      </c>
      <c r="B54" s="2" t="s">
        <v>10</v>
      </c>
      <c r="C54" s="2" t="s">
        <v>57</v>
      </c>
      <c r="D54" s="2" t="s">
        <v>58</v>
      </c>
      <c r="E54" s="2" t="s">
        <v>93</v>
      </c>
      <c r="F54" s="2" t="s">
        <v>94</v>
      </c>
      <c r="G54">
        <v>44.36</v>
      </c>
      <c r="H54" s="2" t="s">
        <v>13</v>
      </c>
      <c r="I54" s="2" t="s">
        <v>14</v>
      </c>
      <c r="J54" s="1">
        <v>45753</v>
      </c>
      <c r="K54">
        <v>4</v>
      </c>
      <c r="L54">
        <v>2025</v>
      </c>
    </row>
    <row r="55" spans="1:12" x14ac:dyDescent="0.35">
      <c r="A55" s="1">
        <v>45755</v>
      </c>
      <c r="B55" s="2" t="s">
        <v>10</v>
      </c>
      <c r="C55" s="2" t="s">
        <v>17</v>
      </c>
      <c r="D55" s="2" t="s">
        <v>18</v>
      </c>
      <c r="E55" s="2" t="s">
        <v>93</v>
      </c>
      <c r="F55" s="2" t="s">
        <v>94</v>
      </c>
      <c r="G55">
        <v>10875.36</v>
      </c>
      <c r="H55" s="2" t="s">
        <v>13</v>
      </c>
      <c r="I55" s="2" t="s">
        <v>14</v>
      </c>
      <c r="J55" s="1">
        <v>45753</v>
      </c>
      <c r="K55">
        <v>4</v>
      </c>
      <c r="L55">
        <v>2025</v>
      </c>
    </row>
    <row r="56" spans="1:12" x14ac:dyDescent="0.35">
      <c r="A56" s="1">
        <v>45755</v>
      </c>
      <c r="B56" s="2" t="s">
        <v>10</v>
      </c>
      <c r="C56" s="2" t="s">
        <v>67</v>
      </c>
      <c r="D56" s="2" t="s">
        <v>68</v>
      </c>
      <c r="E56" s="2" t="s">
        <v>93</v>
      </c>
      <c r="F56" s="2" t="s">
        <v>94</v>
      </c>
      <c r="G56">
        <v>5190.7370000000001</v>
      </c>
      <c r="H56" s="2" t="s">
        <v>13</v>
      </c>
      <c r="I56" s="2" t="s">
        <v>14</v>
      </c>
      <c r="J56" s="1">
        <v>45753</v>
      </c>
      <c r="K56">
        <v>4</v>
      </c>
      <c r="L56">
        <v>2025</v>
      </c>
    </row>
    <row r="57" spans="1:12" x14ac:dyDescent="0.35">
      <c r="A57" s="1">
        <v>45755</v>
      </c>
      <c r="B57" s="2" t="s">
        <v>10</v>
      </c>
      <c r="C57" s="2" t="s">
        <v>95</v>
      </c>
      <c r="D57" s="2" t="s">
        <v>96</v>
      </c>
      <c r="E57" s="2" t="s">
        <v>93</v>
      </c>
      <c r="F57" s="2" t="s">
        <v>94</v>
      </c>
      <c r="G57">
        <v>54615.45</v>
      </c>
      <c r="H57" s="2" t="s">
        <v>13</v>
      </c>
      <c r="I57" s="2" t="s">
        <v>14</v>
      </c>
      <c r="J57" s="1">
        <v>45753</v>
      </c>
      <c r="K57">
        <v>4</v>
      </c>
      <c r="L57">
        <v>2025</v>
      </c>
    </row>
    <row r="58" spans="1:12" x14ac:dyDescent="0.35">
      <c r="A58" s="1">
        <v>45755</v>
      </c>
      <c r="B58" s="2" t="s">
        <v>10</v>
      </c>
      <c r="C58" s="2" t="s">
        <v>77</v>
      </c>
      <c r="D58" s="2" t="s">
        <v>78</v>
      </c>
      <c r="E58" s="2" t="s">
        <v>93</v>
      </c>
      <c r="F58" s="2" t="s">
        <v>94</v>
      </c>
      <c r="G58">
        <v>491.93</v>
      </c>
      <c r="H58" s="2" t="s">
        <v>13</v>
      </c>
      <c r="I58" s="2" t="s">
        <v>14</v>
      </c>
      <c r="J58" s="1">
        <v>45753</v>
      </c>
      <c r="K58">
        <v>4</v>
      </c>
      <c r="L58">
        <v>2025</v>
      </c>
    </row>
    <row r="59" spans="1:12" x14ac:dyDescent="0.35">
      <c r="A59" s="1">
        <v>45755</v>
      </c>
      <c r="B59" s="2" t="s">
        <v>10</v>
      </c>
      <c r="C59" s="2" t="s">
        <v>61</v>
      </c>
      <c r="D59" s="2" t="s">
        <v>62</v>
      </c>
      <c r="E59" s="2" t="s">
        <v>93</v>
      </c>
      <c r="F59" s="2" t="s">
        <v>94</v>
      </c>
      <c r="G59">
        <v>160.85</v>
      </c>
      <c r="H59" s="2" t="s">
        <v>13</v>
      </c>
      <c r="I59" s="2" t="s">
        <v>14</v>
      </c>
      <c r="J59" s="1">
        <v>45753</v>
      </c>
      <c r="K59">
        <v>4</v>
      </c>
      <c r="L59">
        <v>2025</v>
      </c>
    </row>
    <row r="60" spans="1:12" x14ac:dyDescent="0.35">
      <c r="A60" s="1">
        <v>45755</v>
      </c>
      <c r="B60" s="2" t="s">
        <v>10</v>
      </c>
      <c r="C60" s="2" t="s">
        <v>91</v>
      </c>
      <c r="D60" s="2" t="s">
        <v>92</v>
      </c>
      <c r="E60" s="2" t="s">
        <v>93</v>
      </c>
      <c r="F60" s="2" t="s">
        <v>94</v>
      </c>
      <c r="G60">
        <v>19342.258000000002</v>
      </c>
      <c r="H60" s="2" t="s">
        <v>13</v>
      </c>
      <c r="I60" s="2" t="s">
        <v>14</v>
      </c>
      <c r="J60" s="1">
        <v>45753</v>
      </c>
      <c r="K60">
        <v>4</v>
      </c>
      <c r="L60">
        <v>2025</v>
      </c>
    </row>
    <row r="61" spans="1:12" x14ac:dyDescent="0.35">
      <c r="A61" s="1">
        <v>45755</v>
      </c>
      <c r="B61" s="2" t="s">
        <v>10</v>
      </c>
      <c r="C61" s="2" t="s">
        <v>51</v>
      </c>
      <c r="D61" s="2" t="s">
        <v>52</v>
      </c>
      <c r="E61" s="2" t="s">
        <v>93</v>
      </c>
      <c r="F61" s="2" t="s">
        <v>94</v>
      </c>
      <c r="G61">
        <v>97.48</v>
      </c>
      <c r="H61" s="2" t="s">
        <v>13</v>
      </c>
      <c r="I61" s="2" t="s">
        <v>14</v>
      </c>
      <c r="J61" s="1">
        <v>45753</v>
      </c>
      <c r="K61">
        <v>4</v>
      </c>
      <c r="L61">
        <v>2025</v>
      </c>
    </row>
    <row r="62" spans="1:12" x14ac:dyDescent="0.35">
      <c r="A62" s="1">
        <v>45755</v>
      </c>
      <c r="B62" s="2" t="s">
        <v>10</v>
      </c>
      <c r="C62" s="2" t="s">
        <v>41</v>
      </c>
      <c r="D62" s="2" t="s">
        <v>42</v>
      </c>
      <c r="E62" s="2" t="s">
        <v>93</v>
      </c>
      <c r="F62" s="2" t="s">
        <v>94</v>
      </c>
      <c r="G62">
        <v>10391.673000000001</v>
      </c>
      <c r="H62" s="2" t="s">
        <v>13</v>
      </c>
      <c r="I62" s="2" t="s">
        <v>14</v>
      </c>
      <c r="J62" s="1">
        <v>45753</v>
      </c>
      <c r="K62">
        <v>4</v>
      </c>
      <c r="L62">
        <v>2025</v>
      </c>
    </row>
    <row r="63" spans="1:12" x14ac:dyDescent="0.35">
      <c r="A63" s="1">
        <v>45755</v>
      </c>
      <c r="B63" s="2" t="s">
        <v>10</v>
      </c>
      <c r="C63" s="2" t="s">
        <v>63</v>
      </c>
      <c r="D63" s="2" t="s">
        <v>64</v>
      </c>
      <c r="E63" s="2" t="s">
        <v>93</v>
      </c>
      <c r="F63" s="2" t="s">
        <v>94</v>
      </c>
      <c r="G63">
        <v>93.846000000000004</v>
      </c>
      <c r="H63" s="2" t="s">
        <v>13</v>
      </c>
      <c r="I63" s="2" t="s">
        <v>14</v>
      </c>
      <c r="J63" s="1">
        <v>45753</v>
      </c>
      <c r="K63">
        <v>4</v>
      </c>
      <c r="L63">
        <v>2025</v>
      </c>
    </row>
    <row r="64" spans="1:12" x14ac:dyDescent="0.35">
      <c r="A64" s="1">
        <v>45755</v>
      </c>
      <c r="B64" s="2" t="s">
        <v>10</v>
      </c>
      <c r="C64" s="2" t="s">
        <v>75</v>
      </c>
      <c r="D64" s="2" t="s">
        <v>76</v>
      </c>
      <c r="E64" s="2" t="s">
        <v>93</v>
      </c>
      <c r="F64" s="2" t="s">
        <v>94</v>
      </c>
      <c r="G64">
        <v>2414.38</v>
      </c>
      <c r="H64" s="2" t="s">
        <v>13</v>
      </c>
      <c r="I64" s="2" t="s">
        <v>14</v>
      </c>
      <c r="J64" s="1">
        <v>45753</v>
      </c>
      <c r="K64">
        <v>4</v>
      </c>
      <c r="L64">
        <v>2025</v>
      </c>
    </row>
    <row r="65" spans="1:12" x14ac:dyDescent="0.35">
      <c r="A65" s="1">
        <v>45755</v>
      </c>
      <c r="B65" s="2" t="s">
        <v>10</v>
      </c>
      <c r="C65" s="2" t="s">
        <v>97</v>
      </c>
      <c r="D65" s="2" t="s">
        <v>98</v>
      </c>
      <c r="E65" s="2" t="s">
        <v>93</v>
      </c>
      <c r="F65" s="2" t="s">
        <v>94</v>
      </c>
      <c r="G65">
        <v>9564.1200000000008</v>
      </c>
      <c r="H65" s="2" t="s">
        <v>13</v>
      </c>
      <c r="I65" s="2" t="s">
        <v>14</v>
      </c>
      <c r="J65" s="1">
        <v>45753</v>
      </c>
      <c r="K65">
        <v>4</v>
      </c>
      <c r="L65">
        <v>2025</v>
      </c>
    </row>
    <row r="66" spans="1:12" x14ac:dyDescent="0.35">
      <c r="A66" s="1">
        <v>45755</v>
      </c>
      <c r="B66" s="2" t="s">
        <v>10</v>
      </c>
      <c r="C66" s="2" t="s">
        <v>19</v>
      </c>
      <c r="D66" s="2" t="s">
        <v>20</v>
      </c>
      <c r="E66" s="2" t="s">
        <v>93</v>
      </c>
      <c r="F66" s="2" t="s">
        <v>94</v>
      </c>
      <c r="G66">
        <v>2359.34</v>
      </c>
      <c r="H66" s="2" t="s">
        <v>13</v>
      </c>
      <c r="I66" s="2" t="s">
        <v>14</v>
      </c>
      <c r="J66" s="1">
        <v>45753</v>
      </c>
      <c r="K66">
        <v>4</v>
      </c>
      <c r="L66">
        <v>2025</v>
      </c>
    </row>
    <row r="67" spans="1:12" x14ac:dyDescent="0.35">
      <c r="A67" s="1">
        <v>45755</v>
      </c>
      <c r="B67" s="2" t="s">
        <v>10</v>
      </c>
      <c r="C67" s="2" t="s">
        <v>37</v>
      </c>
      <c r="D67" s="2" t="s">
        <v>38</v>
      </c>
      <c r="E67" s="2" t="s">
        <v>99</v>
      </c>
      <c r="F67" s="2" t="s">
        <v>100</v>
      </c>
      <c r="G67">
        <v>6950.95</v>
      </c>
      <c r="H67" s="2" t="s">
        <v>13</v>
      </c>
      <c r="I67" s="2" t="s">
        <v>14</v>
      </c>
      <c r="J67" s="1">
        <v>45753</v>
      </c>
      <c r="K67">
        <v>4</v>
      </c>
      <c r="L67">
        <v>2025</v>
      </c>
    </row>
    <row r="68" spans="1:12" x14ac:dyDescent="0.35">
      <c r="A68" s="1">
        <v>45755</v>
      </c>
      <c r="B68" s="2" t="s">
        <v>10</v>
      </c>
      <c r="C68" s="2" t="s">
        <v>57</v>
      </c>
      <c r="D68" s="2" t="s">
        <v>58</v>
      </c>
      <c r="E68" s="2" t="s">
        <v>99</v>
      </c>
      <c r="F68" s="2" t="s">
        <v>100</v>
      </c>
      <c r="G68">
        <v>252.01</v>
      </c>
      <c r="H68" s="2" t="s">
        <v>13</v>
      </c>
      <c r="I68" s="2" t="s">
        <v>14</v>
      </c>
      <c r="J68" s="1">
        <v>45753</v>
      </c>
      <c r="K68">
        <v>4</v>
      </c>
      <c r="L68">
        <v>2025</v>
      </c>
    </row>
    <row r="69" spans="1:12" x14ac:dyDescent="0.35">
      <c r="A69" s="1">
        <v>45755</v>
      </c>
      <c r="B69" s="2" t="s">
        <v>10</v>
      </c>
      <c r="C69" s="2" t="s">
        <v>17</v>
      </c>
      <c r="D69" s="2" t="s">
        <v>18</v>
      </c>
      <c r="E69" s="2" t="s">
        <v>99</v>
      </c>
      <c r="F69" s="2" t="s">
        <v>100</v>
      </c>
      <c r="G69">
        <v>2313.1</v>
      </c>
      <c r="H69" s="2" t="s">
        <v>13</v>
      </c>
      <c r="I69" s="2" t="s">
        <v>14</v>
      </c>
      <c r="J69" s="1">
        <v>45753</v>
      </c>
      <c r="K69">
        <v>4</v>
      </c>
      <c r="L69">
        <v>2025</v>
      </c>
    </row>
    <row r="70" spans="1:12" x14ac:dyDescent="0.35">
      <c r="A70" s="1">
        <v>45755</v>
      </c>
      <c r="B70" s="2" t="s">
        <v>10</v>
      </c>
      <c r="C70" s="2" t="s">
        <v>15</v>
      </c>
      <c r="D70" s="2" t="s">
        <v>16</v>
      </c>
      <c r="E70" s="2" t="s">
        <v>99</v>
      </c>
      <c r="F70" s="2" t="s">
        <v>100</v>
      </c>
      <c r="G70">
        <v>6440.67</v>
      </c>
      <c r="H70" s="2" t="s">
        <v>13</v>
      </c>
      <c r="I70" s="2" t="s">
        <v>14</v>
      </c>
      <c r="J70" s="1">
        <v>45753</v>
      </c>
      <c r="K70">
        <v>4</v>
      </c>
      <c r="L70">
        <v>2025</v>
      </c>
    </row>
    <row r="71" spans="1:12" x14ac:dyDescent="0.35">
      <c r="A71" s="1">
        <v>45755</v>
      </c>
      <c r="B71" s="2" t="s">
        <v>10</v>
      </c>
      <c r="C71" s="2" t="s">
        <v>61</v>
      </c>
      <c r="D71" s="2" t="s">
        <v>62</v>
      </c>
      <c r="E71" s="2" t="s">
        <v>99</v>
      </c>
      <c r="F71" s="2" t="s">
        <v>100</v>
      </c>
      <c r="G71">
        <v>6232.39</v>
      </c>
      <c r="H71" s="2" t="s">
        <v>13</v>
      </c>
      <c r="I71" s="2" t="s">
        <v>14</v>
      </c>
      <c r="J71" s="1">
        <v>45753</v>
      </c>
      <c r="K71">
        <v>4</v>
      </c>
      <c r="L71">
        <v>2025</v>
      </c>
    </row>
    <row r="72" spans="1:12" x14ac:dyDescent="0.35">
      <c r="A72" s="1">
        <v>45755</v>
      </c>
      <c r="B72" s="2" t="s">
        <v>10</v>
      </c>
      <c r="C72" s="2" t="s">
        <v>33</v>
      </c>
      <c r="D72" s="2" t="s">
        <v>34</v>
      </c>
      <c r="E72" s="2" t="s">
        <v>99</v>
      </c>
      <c r="F72" s="2" t="s">
        <v>100</v>
      </c>
      <c r="G72">
        <v>4269.83</v>
      </c>
      <c r="H72" s="2" t="s">
        <v>13</v>
      </c>
      <c r="I72" s="2" t="s">
        <v>14</v>
      </c>
      <c r="J72" s="1">
        <v>45753</v>
      </c>
      <c r="K72">
        <v>4</v>
      </c>
      <c r="L72">
        <v>2025</v>
      </c>
    </row>
    <row r="73" spans="1:12" x14ac:dyDescent="0.35">
      <c r="A73" s="1">
        <v>45755</v>
      </c>
      <c r="B73" s="2" t="s">
        <v>10</v>
      </c>
      <c r="C73" s="2" t="s">
        <v>23</v>
      </c>
      <c r="D73" s="2" t="s">
        <v>24</v>
      </c>
      <c r="E73" s="2" t="s">
        <v>99</v>
      </c>
      <c r="F73" s="2" t="s">
        <v>100</v>
      </c>
      <c r="G73">
        <v>7809.7</v>
      </c>
      <c r="H73" s="2" t="s">
        <v>13</v>
      </c>
      <c r="I73" s="2" t="s">
        <v>14</v>
      </c>
      <c r="J73" s="1">
        <v>45753</v>
      </c>
      <c r="K73">
        <v>4</v>
      </c>
      <c r="L73">
        <v>2025</v>
      </c>
    </row>
    <row r="74" spans="1:12" x14ac:dyDescent="0.35">
      <c r="A74" s="1">
        <v>45755</v>
      </c>
      <c r="B74" s="2" t="s">
        <v>10</v>
      </c>
      <c r="C74" s="2" t="s">
        <v>63</v>
      </c>
      <c r="D74" s="2" t="s">
        <v>64</v>
      </c>
      <c r="E74" s="2" t="s">
        <v>99</v>
      </c>
      <c r="F74" s="2" t="s">
        <v>100</v>
      </c>
      <c r="G74">
        <v>433.8</v>
      </c>
      <c r="H74" s="2" t="s">
        <v>13</v>
      </c>
      <c r="I74" s="2" t="s">
        <v>14</v>
      </c>
      <c r="J74" s="1">
        <v>45753</v>
      </c>
      <c r="K74">
        <v>4</v>
      </c>
      <c r="L74">
        <v>2025</v>
      </c>
    </row>
    <row r="75" spans="1:12" x14ac:dyDescent="0.35">
      <c r="A75" s="1">
        <v>45755</v>
      </c>
      <c r="B75" s="2" t="s">
        <v>10</v>
      </c>
      <c r="C75" s="2" t="s">
        <v>43</v>
      </c>
      <c r="D75" s="2" t="s">
        <v>44</v>
      </c>
      <c r="E75" s="2" t="s">
        <v>99</v>
      </c>
      <c r="F75" s="2" t="s">
        <v>100</v>
      </c>
      <c r="G75">
        <v>412.48</v>
      </c>
      <c r="H75" s="2" t="s">
        <v>13</v>
      </c>
      <c r="I75" s="2" t="s">
        <v>14</v>
      </c>
      <c r="J75" s="1">
        <v>45753</v>
      </c>
      <c r="K75">
        <v>4</v>
      </c>
      <c r="L75">
        <v>2025</v>
      </c>
    </row>
    <row r="76" spans="1:12" x14ac:dyDescent="0.35">
      <c r="A76" s="1">
        <v>45755</v>
      </c>
      <c r="B76" s="2" t="s">
        <v>10</v>
      </c>
      <c r="C76" s="2" t="s">
        <v>75</v>
      </c>
      <c r="D76" s="2" t="s">
        <v>76</v>
      </c>
      <c r="E76" s="2" t="s">
        <v>99</v>
      </c>
      <c r="F76" s="2" t="s">
        <v>100</v>
      </c>
      <c r="G76">
        <v>200</v>
      </c>
      <c r="H76" s="2" t="s">
        <v>13</v>
      </c>
      <c r="I76" s="2" t="s">
        <v>14</v>
      </c>
      <c r="J76" s="1">
        <v>45753</v>
      </c>
      <c r="K76">
        <v>4</v>
      </c>
      <c r="L76">
        <v>2025</v>
      </c>
    </row>
    <row r="77" spans="1:12" x14ac:dyDescent="0.35">
      <c r="A77" s="1">
        <v>45755</v>
      </c>
      <c r="B77" s="2" t="s">
        <v>10</v>
      </c>
      <c r="C77" s="2" t="s">
        <v>47</v>
      </c>
      <c r="D77" s="2" t="s">
        <v>48</v>
      </c>
      <c r="E77" s="2" t="s">
        <v>99</v>
      </c>
      <c r="F77" s="2" t="s">
        <v>100</v>
      </c>
      <c r="G77">
        <v>1800.0170000000001</v>
      </c>
      <c r="H77" s="2" t="s">
        <v>13</v>
      </c>
      <c r="I77" s="2" t="s">
        <v>14</v>
      </c>
      <c r="J77" s="1">
        <v>45753</v>
      </c>
      <c r="K77">
        <v>4</v>
      </c>
      <c r="L77">
        <v>2025</v>
      </c>
    </row>
    <row r="78" spans="1:12" x14ac:dyDescent="0.35">
      <c r="A78" s="1">
        <v>45755</v>
      </c>
      <c r="B78" s="2" t="s">
        <v>10</v>
      </c>
      <c r="C78" s="2" t="s">
        <v>31</v>
      </c>
      <c r="D78" s="2" t="s">
        <v>32</v>
      </c>
      <c r="E78" s="2" t="s">
        <v>99</v>
      </c>
      <c r="F78" s="2" t="s">
        <v>100</v>
      </c>
      <c r="G78">
        <v>1365.78</v>
      </c>
      <c r="H78" s="2" t="s">
        <v>13</v>
      </c>
      <c r="I78" s="2" t="s">
        <v>14</v>
      </c>
      <c r="J78" s="1">
        <v>45753</v>
      </c>
      <c r="K78">
        <v>4</v>
      </c>
      <c r="L78">
        <v>2025</v>
      </c>
    </row>
    <row r="79" spans="1:12" x14ac:dyDescent="0.35">
      <c r="A79" s="1">
        <v>45755</v>
      </c>
      <c r="B79" s="2" t="s">
        <v>10</v>
      </c>
      <c r="C79" s="2" t="s">
        <v>65</v>
      </c>
      <c r="D79" s="2" t="s">
        <v>66</v>
      </c>
      <c r="E79" s="2" t="s">
        <v>99</v>
      </c>
      <c r="F79" s="2" t="s">
        <v>100</v>
      </c>
      <c r="G79">
        <v>221.4</v>
      </c>
      <c r="H79" s="2" t="s">
        <v>13</v>
      </c>
      <c r="I79" s="2" t="s">
        <v>14</v>
      </c>
      <c r="J79" s="1">
        <v>45753</v>
      </c>
      <c r="K79">
        <v>4</v>
      </c>
      <c r="L79">
        <v>2025</v>
      </c>
    </row>
    <row r="80" spans="1:12" x14ac:dyDescent="0.35">
      <c r="A80" s="1">
        <v>45755</v>
      </c>
      <c r="B80" s="2" t="s">
        <v>10</v>
      </c>
      <c r="C80" s="2" t="s">
        <v>19</v>
      </c>
      <c r="D80" s="2" t="s">
        <v>20</v>
      </c>
      <c r="E80" s="2" t="s">
        <v>99</v>
      </c>
      <c r="F80" s="2" t="s">
        <v>100</v>
      </c>
      <c r="G80">
        <v>23.56</v>
      </c>
      <c r="H80" s="2" t="s">
        <v>13</v>
      </c>
      <c r="I80" s="2" t="s">
        <v>14</v>
      </c>
      <c r="J80" s="1">
        <v>45753</v>
      </c>
      <c r="K80">
        <v>4</v>
      </c>
      <c r="L80">
        <v>2025</v>
      </c>
    </row>
    <row r="81" spans="1:12" x14ac:dyDescent="0.35">
      <c r="A81" s="1">
        <v>45755</v>
      </c>
      <c r="B81" s="2" t="s">
        <v>10</v>
      </c>
      <c r="C81" s="2" t="s">
        <v>45</v>
      </c>
      <c r="D81" s="2" t="s">
        <v>46</v>
      </c>
      <c r="E81" s="2" t="s">
        <v>99</v>
      </c>
      <c r="F81" s="2" t="s">
        <v>100</v>
      </c>
      <c r="G81">
        <v>2156.3000000000002</v>
      </c>
      <c r="H81" s="2" t="s">
        <v>13</v>
      </c>
      <c r="I81" s="2" t="s">
        <v>14</v>
      </c>
      <c r="J81" s="1">
        <v>45753</v>
      </c>
      <c r="K81">
        <v>4</v>
      </c>
      <c r="L81">
        <v>2025</v>
      </c>
    </row>
    <row r="82" spans="1:12" x14ac:dyDescent="0.35">
      <c r="A82" s="1">
        <v>45755</v>
      </c>
      <c r="B82" s="2" t="s">
        <v>10</v>
      </c>
      <c r="C82" s="2" t="s">
        <v>57</v>
      </c>
      <c r="D82" s="2" t="s">
        <v>58</v>
      </c>
      <c r="E82" s="2" t="s">
        <v>101</v>
      </c>
      <c r="F82" s="2" t="s">
        <v>102</v>
      </c>
      <c r="G82">
        <v>1516.4</v>
      </c>
      <c r="H82" s="2" t="s">
        <v>13</v>
      </c>
      <c r="I82" s="2" t="s">
        <v>14</v>
      </c>
      <c r="J82" s="1">
        <v>45753</v>
      </c>
      <c r="K82">
        <v>4</v>
      </c>
      <c r="L82">
        <v>2025</v>
      </c>
    </row>
    <row r="83" spans="1:12" x14ac:dyDescent="0.35">
      <c r="A83" s="1">
        <v>45755</v>
      </c>
      <c r="B83" s="2" t="s">
        <v>10</v>
      </c>
      <c r="C83" s="2" t="s">
        <v>15</v>
      </c>
      <c r="D83" s="2" t="s">
        <v>16</v>
      </c>
      <c r="E83" s="2" t="s">
        <v>101</v>
      </c>
      <c r="F83" s="2" t="s">
        <v>102</v>
      </c>
      <c r="G83">
        <v>4847.8</v>
      </c>
      <c r="H83" s="2" t="s">
        <v>13</v>
      </c>
      <c r="I83" s="2" t="s">
        <v>14</v>
      </c>
      <c r="J83" s="1">
        <v>45753</v>
      </c>
      <c r="K83">
        <v>4</v>
      </c>
      <c r="L83">
        <v>2025</v>
      </c>
    </row>
    <row r="84" spans="1:12" x14ac:dyDescent="0.35">
      <c r="A84" s="1">
        <v>45755</v>
      </c>
      <c r="B84" s="2" t="s">
        <v>10</v>
      </c>
      <c r="C84" s="2" t="s">
        <v>61</v>
      </c>
      <c r="D84" s="2" t="s">
        <v>62</v>
      </c>
      <c r="E84" s="2" t="s">
        <v>101</v>
      </c>
      <c r="F84" s="2" t="s">
        <v>102</v>
      </c>
      <c r="G84">
        <v>388.46</v>
      </c>
      <c r="H84" s="2" t="s">
        <v>13</v>
      </c>
      <c r="I84" s="2" t="s">
        <v>14</v>
      </c>
      <c r="J84" s="1">
        <v>45753</v>
      </c>
      <c r="K84">
        <v>4</v>
      </c>
      <c r="L84">
        <v>2025</v>
      </c>
    </row>
    <row r="85" spans="1:12" x14ac:dyDescent="0.35">
      <c r="A85" s="1">
        <v>45755</v>
      </c>
      <c r="B85" s="2" t="s">
        <v>10</v>
      </c>
      <c r="C85" s="2" t="s">
        <v>33</v>
      </c>
      <c r="D85" s="2" t="s">
        <v>34</v>
      </c>
      <c r="E85" s="2" t="s">
        <v>101</v>
      </c>
      <c r="F85" s="2" t="s">
        <v>102</v>
      </c>
      <c r="G85">
        <v>201.54</v>
      </c>
      <c r="H85" s="2" t="s">
        <v>13</v>
      </c>
      <c r="I85" s="2" t="s">
        <v>14</v>
      </c>
      <c r="J85" s="1">
        <v>45753</v>
      </c>
      <c r="K85">
        <v>4</v>
      </c>
      <c r="L85">
        <v>2025</v>
      </c>
    </row>
    <row r="86" spans="1:12" x14ac:dyDescent="0.35">
      <c r="A86" s="1">
        <v>45755</v>
      </c>
      <c r="B86" s="2" t="s">
        <v>10</v>
      </c>
      <c r="C86" s="2" t="s">
        <v>51</v>
      </c>
      <c r="D86" s="2" t="s">
        <v>52</v>
      </c>
      <c r="E86" s="2" t="s">
        <v>101</v>
      </c>
      <c r="F86" s="2" t="s">
        <v>102</v>
      </c>
      <c r="G86">
        <v>23.5</v>
      </c>
      <c r="H86" s="2" t="s">
        <v>13</v>
      </c>
      <c r="I86" s="2" t="s">
        <v>14</v>
      </c>
      <c r="J86" s="1">
        <v>45753</v>
      </c>
      <c r="K86">
        <v>4</v>
      </c>
      <c r="L86">
        <v>2025</v>
      </c>
    </row>
    <row r="87" spans="1:12" x14ac:dyDescent="0.35">
      <c r="A87" s="1">
        <v>45755</v>
      </c>
      <c r="B87" s="2" t="s">
        <v>10</v>
      </c>
      <c r="C87" s="2" t="s">
        <v>55</v>
      </c>
      <c r="D87" s="2" t="s">
        <v>56</v>
      </c>
      <c r="E87" s="2" t="s">
        <v>101</v>
      </c>
      <c r="F87" s="2" t="s">
        <v>102</v>
      </c>
      <c r="G87">
        <v>18.216000000000001</v>
      </c>
      <c r="H87" s="2" t="s">
        <v>13</v>
      </c>
      <c r="I87" s="2" t="s">
        <v>14</v>
      </c>
      <c r="J87" s="1">
        <v>45753</v>
      </c>
      <c r="K87">
        <v>4</v>
      </c>
      <c r="L87">
        <v>2025</v>
      </c>
    </row>
    <row r="88" spans="1:12" x14ac:dyDescent="0.35">
      <c r="A88" s="1">
        <v>45755</v>
      </c>
      <c r="B88" s="2" t="s">
        <v>10</v>
      </c>
      <c r="C88" s="2" t="s">
        <v>67</v>
      </c>
      <c r="D88" s="2" t="s">
        <v>68</v>
      </c>
      <c r="E88" s="2" t="s">
        <v>99</v>
      </c>
      <c r="F88" s="2" t="s">
        <v>100</v>
      </c>
      <c r="G88">
        <v>29878.35</v>
      </c>
      <c r="H88" s="2" t="s">
        <v>13</v>
      </c>
      <c r="I88" s="2" t="s">
        <v>14</v>
      </c>
      <c r="J88" s="1">
        <v>45753</v>
      </c>
      <c r="K88">
        <v>4</v>
      </c>
      <c r="L88">
        <v>2025</v>
      </c>
    </row>
    <row r="89" spans="1:12" x14ac:dyDescent="0.35">
      <c r="A89" s="1">
        <v>45755</v>
      </c>
      <c r="B89" s="2" t="s">
        <v>10</v>
      </c>
      <c r="C89" s="2" t="s">
        <v>29</v>
      </c>
      <c r="D89" s="2" t="s">
        <v>30</v>
      </c>
      <c r="E89" s="2" t="s">
        <v>101</v>
      </c>
      <c r="F89" s="2" t="s">
        <v>102</v>
      </c>
      <c r="G89">
        <v>24</v>
      </c>
      <c r="H89" s="2" t="s">
        <v>13</v>
      </c>
      <c r="I89" s="2" t="s">
        <v>14</v>
      </c>
      <c r="J89" s="1">
        <v>45753</v>
      </c>
      <c r="K89">
        <v>4</v>
      </c>
      <c r="L89">
        <v>2025</v>
      </c>
    </row>
    <row r="90" spans="1:12" x14ac:dyDescent="0.35">
      <c r="A90" s="1">
        <v>45755</v>
      </c>
      <c r="B90" s="2" t="s">
        <v>10</v>
      </c>
      <c r="C90" s="2" t="s">
        <v>25</v>
      </c>
      <c r="D90" s="2" t="s">
        <v>26</v>
      </c>
      <c r="E90" s="2" t="s">
        <v>101</v>
      </c>
      <c r="F90" s="2" t="s">
        <v>102</v>
      </c>
      <c r="G90">
        <v>24</v>
      </c>
      <c r="H90" s="2" t="s">
        <v>13</v>
      </c>
      <c r="I90" s="2" t="s">
        <v>14</v>
      </c>
      <c r="J90" s="1">
        <v>45753</v>
      </c>
      <c r="K90">
        <v>4</v>
      </c>
      <c r="L90">
        <v>2025</v>
      </c>
    </row>
    <row r="91" spans="1:12" x14ac:dyDescent="0.35">
      <c r="A91" s="1">
        <v>45755</v>
      </c>
      <c r="B91" s="2" t="s">
        <v>10</v>
      </c>
      <c r="C91" s="2" t="s">
        <v>83</v>
      </c>
      <c r="D91" s="2" t="s">
        <v>84</v>
      </c>
      <c r="E91" s="2" t="s">
        <v>93</v>
      </c>
      <c r="F91" s="2" t="s">
        <v>94</v>
      </c>
      <c r="G91">
        <v>31300</v>
      </c>
      <c r="H91" s="2" t="s">
        <v>13</v>
      </c>
      <c r="I91" s="2" t="s">
        <v>14</v>
      </c>
      <c r="J91" s="1">
        <v>45753</v>
      </c>
      <c r="K91">
        <v>4</v>
      </c>
      <c r="L91">
        <v>2025</v>
      </c>
    </row>
    <row r="92" spans="1:12" x14ac:dyDescent="0.35">
      <c r="A92" s="1">
        <v>45755</v>
      </c>
      <c r="B92" s="2" t="s">
        <v>10</v>
      </c>
      <c r="C92" s="2" t="s">
        <v>39</v>
      </c>
      <c r="D92" s="2" t="s">
        <v>40</v>
      </c>
      <c r="E92" s="2" t="s">
        <v>101</v>
      </c>
      <c r="F92" s="2" t="s">
        <v>102</v>
      </c>
      <c r="G92">
        <v>68.260000000000005</v>
      </c>
      <c r="H92" s="2" t="s">
        <v>13</v>
      </c>
      <c r="I92" s="2" t="s">
        <v>14</v>
      </c>
      <c r="J92" s="1">
        <v>45753</v>
      </c>
      <c r="K92">
        <v>4</v>
      </c>
      <c r="L92">
        <v>2025</v>
      </c>
    </row>
    <row r="93" spans="1:12" x14ac:dyDescent="0.35">
      <c r="A93" s="1">
        <v>45755</v>
      </c>
      <c r="B93" s="2" t="s">
        <v>10</v>
      </c>
      <c r="C93" s="2" t="s">
        <v>63</v>
      </c>
      <c r="D93" s="2" t="s">
        <v>64</v>
      </c>
      <c r="E93" s="2" t="s">
        <v>101</v>
      </c>
      <c r="F93" s="2" t="s">
        <v>102</v>
      </c>
      <c r="G93">
        <v>48.5</v>
      </c>
      <c r="H93" s="2" t="s">
        <v>13</v>
      </c>
      <c r="I93" s="2" t="s">
        <v>14</v>
      </c>
      <c r="J93" s="1">
        <v>45753</v>
      </c>
      <c r="K93">
        <v>4</v>
      </c>
      <c r="L93">
        <v>2025</v>
      </c>
    </row>
    <row r="94" spans="1:12" x14ac:dyDescent="0.35">
      <c r="A94" s="1">
        <v>45755</v>
      </c>
      <c r="B94" s="2" t="s">
        <v>10</v>
      </c>
      <c r="C94" s="2" t="s">
        <v>43</v>
      </c>
      <c r="D94" s="2" t="s">
        <v>44</v>
      </c>
      <c r="E94" s="2" t="s">
        <v>101</v>
      </c>
      <c r="F94" s="2" t="s">
        <v>102</v>
      </c>
      <c r="G94">
        <v>576</v>
      </c>
      <c r="H94" s="2" t="s">
        <v>13</v>
      </c>
      <c r="I94" s="2" t="s">
        <v>14</v>
      </c>
      <c r="J94" s="1">
        <v>45753</v>
      </c>
      <c r="K94">
        <v>4</v>
      </c>
      <c r="L94">
        <v>2025</v>
      </c>
    </row>
    <row r="95" spans="1:12" x14ac:dyDescent="0.35">
      <c r="A95" s="1">
        <v>45755</v>
      </c>
      <c r="B95" s="2" t="s">
        <v>10</v>
      </c>
      <c r="C95" s="2" t="s">
        <v>45</v>
      </c>
      <c r="D95" s="2" t="s">
        <v>46</v>
      </c>
      <c r="E95" s="2" t="s">
        <v>101</v>
      </c>
      <c r="F95" s="2" t="s">
        <v>102</v>
      </c>
      <c r="G95">
        <v>47.82</v>
      </c>
      <c r="H95" s="2" t="s">
        <v>13</v>
      </c>
      <c r="I95" s="2" t="s">
        <v>14</v>
      </c>
      <c r="J95" s="1">
        <v>45753</v>
      </c>
      <c r="K95">
        <v>4</v>
      </c>
      <c r="L95">
        <v>2025</v>
      </c>
    </row>
    <row r="96" spans="1:12" x14ac:dyDescent="0.35">
      <c r="A96" s="1">
        <v>45755</v>
      </c>
      <c r="B96" s="2" t="s">
        <v>10</v>
      </c>
      <c r="C96" s="2" t="s">
        <v>75</v>
      </c>
      <c r="D96" s="2" t="s">
        <v>76</v>
      </c>
      <c r="E96" s="2" t="s">
        <v>101</v>
      </c>
      <c r="F96" s="2" t="s">
        <v>102</v>
      </c>
      <c r="G96">
        <v>264.24</v>
      </c>
      <c r="H96" s="2" t="s">
        <v>13</v>
      </c>
      <c r="I96" s="2" t="s">
        <v>14</v>
      </c>
      <c r="J96" s="1">
        <v>45753</v>
      </c>
      <c r="K96">
        <v>4</v>
      </c>
      <c r="L96">
        <v>2025</v>
      </c>
    </row>
    <row r="97" spans="1:12" x14ac:dyDescent="0.35">
      <c r="A97" s="1">
        <v>45755</v>
      </c>
      <c r="B97" s="2" t="s">
        <v>10</v>
      </c>
      <c r="C97" s="2" t="s">
        <v>19</v>
      </c>
      <c r="D97" s="2" t="s">
        <v>20</v>
      </c>
      <c r="E97" s="2" t="s">
        <v>101</v>
      </c>
      <c r="F97" s="2" t="s">
        <v>102</v>
      </c>
      <c r="G97">
        <v>96.38</v>
      </c>
      <c r="H97" s="2" t="s">
        <v>13</v>
      </c>
      <c r="I97" s="2" t="s">
        <v>14</v>
      </c>
      <c r="J97" s="1">
        <v>45753</v>
      </c>
      <c r="K97">
        <v>4</v>
      </c>
      <c r="L97">
        <v>2025</v>
      </c>
    </row>
    <row r="98" spans="1:12" x14ac:dyDescent="0.35">
      <c r="A98" s="1">
        <v>45755</v>
      </c>
      <c r="B98" s="2" t="s">
        <v>10</v>
      </c>
      <c r="C98" s="2" t="s">
        <v>85</v>
      </c>
      <c r="D98" s="2" t="s">
        <v>86</v>
      </c>
      <c r="E98" s="2" t="s">
        <v>101</v>
      </c>
      <c r="F98" s="2" t="s">
        <v>102</v>
      </c>
      <c r="G98">
        <v>23.5</v>
      </c>
      <c r="H98" s="2" t="s">
        <v>13</v>
      </c>
      <c r="I98" s="2" t="s">
        <v>14</v>
      </c>
      <c r="J98" s="1">
        <v>45753</v>
      </c>
      <c r="K98">
        <v>4</v>
      </c>
      <c r="L98">
        <v>2025</v>
      </c>
    </row>
    <row r="99" spans="1:12" x14ac:dyDescent="0.35">
      <c r="A99" s="1">
        <v>45755</v>
      </c>
      <c r="B99" s="2" t="s">
        <v>10</v>
      </c>
      <c r="C99" s="2" t="s">
        <v>57</v>
      </c>
      <c r="D99" s="2" t="s">
        <v>58</v>
      </c>
      <c r="E99" s="2" t="s">
        <v>103</v>
      </c>
      <c r="F99" s="2" t="s">
        <v>104</v>
      </c>
      <c r="G99">
        <v>132</v>
      </c>
      <c r="H99" s="2" t="s">
        <v>13</v>
      </c>
      <c r="I99" s="2" t="s">
        <v>14</v>
      </c>
      <c r="J99" s="1">
        <v>45753</v>
      </c>
      <c r="K99">
        <v>4</v>
      </c>
      <c r="L99">
        <v>2025</v>
      </c>
    </row>
    <row r="100" spans="1:12" x14ac:dyDescent="0.35">
      <c r="A100" s="1">
        <v>45755</v>
      </c>
      <c r="B100" s="2" t="s">
        <v>10</v>
      </c>
      <c r="C100" s="2" t="s">
        <v>33</v>
      </c>
      <c r="D100" s="2" t="s">
        <v>34</v>
      </c>
      <c r="E100" s="2" t="s">
        <v>103</v>
      </c>
      <c r="F100" s="2" t="s">
        <v>104</v>
      </c>
      <c r="G100">
        <v>1826.8</v>
      </c>
      <c r="H100" s="2" t="s">
        <v>13</v>
      </c>
      <c r="I100" s="2" t="s">
        <v>14</v>
      </c>
      <c r="J100" s="1">
        <v>45753</v>
      </c>
      <c r="K100">
        <v>4</v>
      </c>
      <c r="L100">
        <v>2025</v>
      </c>
    </row>
    <row r="101" spans="1:12" x14ac:dyDescent="0.35">
      <c r="A101" s="1">
        <v>45755</v>
      </c>
      <c r="B101" s="2" t="s">
        <v>10</v>
      </c>
      <c r="C101" s="2" t="s">
        <v>51</v>
      </c>
      <c r="D101" s="2" t="s">
        <v>52</v>
      </c>
      <c r="E101" s="2" t="s">
        <v>103</v>
      </c>
      <c r="F101" s="2" t="s">
        <v>104</v>
      </c>
      <c r="G101">
        <v>66.760000000000005</v>
      </c>
      <c r="H101" s="2" t="s">
        <v>13</v>
      </c>
      <c r="I101" s="2" t="s">
        <v>14</v>
      </c>
      <c r="J101" s="1">
        <v>45753</v>
      </c>
      <c r="K101">
        <v>4</v>
      </c>
      <c r="L101">
        <v>2025</v>
      </c>
    </row>
    <row r="102" spans="1:12" x14ac:dyDescent="0.35">
      <c r="A102" s="1">
        <v>45755</v>
      </c>
      <c r="B102" s="2" t="s">
        <v>10</v>
      </c>
      <c r="C102" s="2" t="s">
        <v>45</v>
      </c>
      <c r="D102" s="2" t="s">
        <v>46</v>
      </c>
      <c r="E102" s="2" t="s">
        <v>103</v>
      </c>
      <c r="F102" s="2" t="s">
        <v>104</v>
      </c>
      <c r="G102">
        <v>1458.7</v>
      </c>
      <c r="H102" s="2" t="s">
        <v>13</v>
      </c>
      <c r="I102" s="2" t="s">
        <v>14</v>
      </c>
      <c r="J102" s="1">
        <v>45753</v>
      </c>
      <c r="K102">
        <v>4</v>
      </c>
      <c r="L102">
        <v>2025</v>
      </c>
    </row>
    <row r="103" spans="1:12" x14ac:dyDescent="0.35">
      <c r="A103" s="1">
        <v>45755</v>
      </c>
      <c r="B103" s="2" t="s">
        <v>10</v>
      </c>
      <c r="C103" s="2" t="s">
        <v>85</v>
      </c>
      <c r="D103" s="2" t="s">
        <v>86</v>
      </c>
      <c r="E103" s="2" t="s">
        <v>103</v>
      </c>
      <c r="F103" s="2" t="s">
        <v>104</v>
      </c>
      <c r="G103">
        <v>23</v>
      </c>
      <c r="H103" s="2" t="s">
        <v>13</v>
      </c>
      <c r="I103" s="2" t="s">
        <v>14</v>
      </c>
      <c r="J103" s="1">
        <v>45753</v>
      </c>
      <c r="K103">
        <v>4</v>
      </c>
      <c r="L103">
        <v>2025</v>
      </c>
    </row>
    <row r="104" spans="1:12" x14ac:dyDescent="0.35">
      <c r="A104" s="1">
        <v>45755</v>
      </c>
      <c r="B104" s="2" t="s">
        <v>10</v>
      </c>
      <c r="C104" s="2" t="s">
        <v>19</v>
      </c>
      <c r="D104" s="2" t="s">
        <v>20</v>
      </c>
      <c r="E104" s="2" t="s">
        <v>103</v>
      </c>
      <c r="F104" s="2" t="s">
        <v>104</v>
      </c>
      <c r="G104">
        <v>89.96</v>
      </c>
      <c r="H104" s="2" t="s">
        <v>13</v>
      </c>
      <c r="I104" s="2" t="s">
        <v>14</v>
      </c>
      <c r="J104" s="1">
        <v>45753</v>
      </c>
      <c r="K104">
        <v>4</v>
      </c>
      <c r="L104">
        <v>2025</v>
      </c>
    </row>
    <row r="105" spans="1:12" x14ac:dyDescent="0.35">
      <c r="A105" s="1">
        <v>45755</v>
      </c>
      <c r="B105" s="2" t="s">
        <v>10</v>
      </c>
      <c r="C105" s="2" t="s">
        <v>61</v>
      </c>
      <c r="D105" s="2" t="s">
        <v>62</v>
      </c>
      <c r="E105" s="2" t="s">
        <v>105</v>
      </c>
      <c r="F105" s="2" t="s">
        <v>106</v>
      </c>
      <c r="G105">
        <v>5859.75</v>
      </c>
      <c r="H105" s="2" t="s">
        <v>13</v>
      </c>
      <c r="I105" s="2" t="s">
        <v>14</v>
      </c>
      <c r="J105" s="1">
        <v>45753</v>
      </c>
      <c r="K105">
        <v>4</v>
      </c>
      <c r="L105">
        <v>2025</v>
      </c>
    </row>
    <row r="106" spans="1:12" x14ac:dyDescent="0.35">
      <c r="A106" s="1">
        <v>45755</v>
      </c>
      <c r="B106" s="2" t="s">
        <v>10</v>
      </c>
      <c r="C106" s="2" t="s">
        <v>35</v>
      </c>
      <c r="D106" s="2" t="s">
        <v>36</v>
      </c>
      <c r="E106" s="2" t="s">
        <v>103</v>
      </c>
      <c r="F106" s="2" t="s">
        <v>104</v>
      </c>
      <c r="G106">
        <v>687.35</v>
      </c>
      <c r="H106" s="2" t="s">
        <v>13</v>
      </c>
      <c r="I106" s="2" t="s">
        <v>14</v>
      </c>
      <c r="J106" s="1">
        <v>45753</v>
      </c>
      <c r="K106">
        <v>4</v>
      </c>
      <c r="L106">
        <v>2025</v>
      </c>
    </row>
    <row r="107" spans="1:12" x14ac:dyDescent="0.35">
      <c r="A107" s="1">
        <v>45755</v>
      </c>
      <c r="B107" s="2" t="s">
        <v>10</v>
      </c>
      <c r="C107" s="2" t="s">
        <v>17</v>
      </c>
      <c r="D107" s="2" t="s">
        <v>18</v>
      </c>
      <c r="E107" s="2" t="s">
        <v>103</v>
      </c>
      <c r="F107" s="2" t="s">
        <v>104</v>
      </c>
      <c r="G107">
        <v>207</v>
      </c>
      <c r="H107" s="2" t="s">
        <v>13</v>
      </c>
      <c r="I107" s="2" t="s">
        <v>14</v>
      </c>
      <c r="J107" s="1">
        <v>45753</v>
      </c>
      <c r="K107">
        <v>4</v>
      </c>
      <c r="L107">
        <v>2025</v>
      </c>
    </row>
    <row r="108" spans="1:12" x14ac:dyDescent="0.35">
      <c r="A108" s="1">
        <v>45755</v>
      </c>
      <c r="B108" s="2" t="s">
        <v>10</v>
      </c>
      <c r="C108" s="2" t="s">
        <v>29</v>
      </c>
      <c r="D108" s="2" t="s">
        <v>30</v>
      </c>
      <c r="E108" s="2" t="s">
        <v>103</v>
      </c>
      <c r="F108" s="2" t="s">
        <v>104</v>
      </c>
      <c r="G108">
        <v>223.08</v>
      </c>
      <c r="H108" s="2" t="s">
        <v>13</v>
      </c>
      <c r="I108" s="2" t="s">
        <v>14</v>
      </c>
      <c r="J108" s="1">
        <v>45753</v>
      </c>
      <c r="K108">
        <v>4</v>
      </c>
      <c r="L108">
        <v>2025</v>
      </c>
    </row>
    <row r="109" spans="1:12" x14ac:dyDescent="0.35">
      <c r="A109" s="1">
        <v>45755</v>
      </c>
      <c r="B109" s="2" t="s">
        <v>10</v>
      </c>
      <c r="C109" s="2" t="s">
        <v>63</v>
      </c>
      <c r="D109" s="2" t="s">
        <v>64</v>
      </c>
      <c r="E109" s="2" t="s">
        <v>103</v>
      </c>
      <c r="F109" s="2" t="s">
        <v>104</v>
      </c>
      <c r="G109">
        <v>160.47999999999999</v>
      </c>
      <c r="H109" s="2" t="s">
        <v>13</v>
      </c>
      <c r="I109" s="2" t="s">
        <v>14</v>
      </c>
      <c r="J109" s="1">
        <v>45753</v>
      </c>
      <c r="K109">
        <v>4</v>
      </c>
      <c r="L109">
        <v>2025</v>
      </c>
    </row>
    <row r="110" spans="1:12" x14ac:dyDescent="0.35">
      <c r="A110" s="1">
        <v>45755</v>
      </c>
      <c r="B110" s="2" t="s">
        <v>10</v>
      </c>
      <c r="C110" s="2" t="s">
        <v>57</v>
      </c>
      <c r="D110" s="2" t="s">
        <v>58</v>
      </c>
      <c r="E110" s="2" t="s">
        <v>105</v>
      </c>
      <c r="F110" s="2" t="s">
        <v>106</v>
      </c>
      <c r="G110">
        <v>23</v>
      </c>
      <c r="H110" s="2" t="s">
        <v>13</v>
      </c>
      <c r="I110" s="2" t="s">
        <v>14</v>
      </c>
      <c r="J110" s="1">
        <v>45753</v>
      </c>
      <c r="K110">
        <v>4</v>
      </c>
      <c r="L110">
        <v>2025</v>
      </c>
    </row>
    <row r="111" spans="1:12" x14ac:dyDescent="0.35">
      <c r="A111" s="1">
        <v>45755</v>
      </c>
      <c r="B111" s="2" t="s">
        <v>10</v>
      </c>
      <c r="C111" s="2" t="s">
        <v>63</v>
      </c>
      <c r="D111" s="2" t="s">
        <v>64</v>
      </c>
      <c r="E111" s="2" t="s">
        <v>105</v>
      </c>
      <c r="F111" s="2" t="s">
        <v>106</v>
      </c>
      <c r="G111">
        <v>173.3</v>
      </c>
      <c r="H111" s="2" t="s">
        <v>13</v>
      </c>
      <c r="I111" s="2" t="s">
        <v>14</v>
      </c>
      <c r="J111" s="1">
        <v>45753</v>
      </c>
      <c r="K111">
        <v>4</v>
      </c>
      <c r="L111">
        <v>2025</v>
      </c>
    </row>
    <row r="112" spans="1:12" x14ac:dyDescent="0.35">
      <c r="A112" s="1">
        <v>45755</v>
      </c>
      <c r="B112" s="2" t="s">
        <v>10</v>
      </c>
      <c r="C112" s="2" t="s">
        <v>61</v>
      </c>
      <c r="D112" s="2" t="s">
        <v>62</v>
      </c>
      <c r="E112" s="2" t="s">
        <v>103</v>
      </c>
      <c r="F112" s="2" t="s">
        <v>104</v>
      </c>
      <c r="G112">
        <v>92</v>
      </c>
      <c r="H112" s="2" t="s">
        <v>13</v>
      </c>
      <c r="I112" s="2" t="s">
        <v>14</v>
      </c>
      <c r="J112" s="1">
        <v>45753</v>
      </c>
      <c r="K112">
        <v>4</v>
      </c>
      <c r="L112">
        <v>2025</v>
      </c>
    </row>
    <row r="113" spans="1:12" x14ac:dyDescent="0.35">
      <c r="A113" s="1">
        <v>45755</v>
      </c>
      <c r="B113" s="2" t="s">
        <v>10</v>
      </c>
      <c r="C113" s="2" t="s">
        <v>15</v>
      </c>
      <c r="D113" s="2" t="s">
        <v>16</v>
      </c>
      <c r="E113" s="2" t="s">
        <v>103</v>
      </c>
      <c r="F113" s="2" t="s">
        <v>104</v>
      </c>
      <c r="G113">
        <v>6292.04</v>
      </c>
      <c r="H113" s="2" t="s">
        <v>13</v>
      </c>
      <c r="I113" s="2" t="s">
        <v>14</v>
      </c>
      <c r="J113" s="1">
        <v>45753</v>
      </c>
      <c r="K113">
        <v>4</v>
      </c>
      <c r="L113">
        <v>2025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28B31-7209-4E38-A4B4-EDE5D831C019}">
  <dimension ref="B1:G11"/>
  <sheetViews>
    <sheetView tabSelected="1" workbookViewId="0">
      <selection activeCell="M15" sqref="M15"/>
    </sheetView>
  </sheetViews>
  <sheetFormatPr defaultRowHeight="14.5" x14ac:dyDescent="0.35"/>
  <cols>
    <col min="2" max="2" width="9.90625" bestFit="1" customWidth="1"/>
    <col min="3" max="3" width="23" bestFit="1" customWidth="1"/>
  </cols>
  <sheetData>
    <row r="1" spans="2:7" x14ac:dyDescent="0.35">
      <c r="D1" s="1">
        <f>+_xlfn.MAXIFS(data!$J:$J,data!$E:$E,'View 1'!$B4,data!$K:$K,MONTH('View 1'!D$3),data!$L:$L,YEAR('View 1'!D$3))</f>
        <v>45753</v>
      </c>
      <c r="F1" s="1">
        <f>+EOMONTH(D3,0)</f>
        <v>45777</v>
      </c>
    </row>
    <row r="2" spans="2:7" x14ac:dyDescent="0.35">
      <c r="D2" s="1"/>
      <c r="F2" s="1"/>
    </row>
    <row r="3" spans="2:7" x14ac:dyDescent="0.35">
      <c r="B3" t="s">
        <v>4</v>
      </c>
      <c r="C3" t="s">
        <v>5</v>
      </c>
      <c r="D3" s="4">
        <v>45748</v>
      </c>
      <c r="E3" t="s">
        <v>109</v>
      </c>
      <c r="G3" t="s">
        <v>115</v>
      </c>
    </row>
    <row r="4" spans="2:7" x14ac:dyDescent="0.35">
      <c r="B4" s="2" t="s">
        <v>59</v>
      </c>
      <c r="C4" s="2" t="s">
        <v>60</v>
      </c>
      <c r="D4">
        <f>+SUMIFS(data!$G:$G,data!$E:$E,'View 1'!$B4,data!$K:$K,MONTH('View 1'!D$3),data!$L:$L,YEAR('View 1'!D$3))/1000</f>
        <v>0.37171124999999999</v>
      </c>
      <c r="E4">
        <f>+D4/DAY(D$1)*DAY(EOMONTH(D$3,0))</f>
        <v>1.8585562499999999</v>
      </c>
    </row>
    <row r="5" spans="2:7" x14ac:dyDescent="0.35">
      <c r="B5" s="2" t="s">
        <v>79</v>
      </c>
      <c r="C5" s="2" t="s">
        <v>80</v>
      </c>
      <c r="D5">
        <f>+SUMIFS(data!$G:$G,data!$E:$E,'View 1'!$B5,data!$K:$K,MONTH('View 1'!D$3),data!$L:$L,YEAR('View 1'!D$3))/1000</f>
        <v>103.38182492999995</v>
      </c>
      <c r="E5">
        <f t="shared" ref="E5:E11" si="0">+D5/DAY(D$1)*DAY(EOMONTH(D$3,0))</f>
        <v>516.90912464999974</v>
      </c>
    </row>
    <row r="6" spans="2:7" x14ac:dyDescent="0.35">
      <c r="B6" s="2" t="s">
        <v>73</v>
      </c>
      <c r="C6" s="2" t="s">
        <v>74</v>
      </c>
      <c r="D6">
        <f>+SUMIFS(data!$G:$G,data!$E:$E,'View 1'!$B6,data!$K:$K,MONTH('View 1'!D$3),data!$L:$L,YEAR('View 1'!D$3))/1000</f>
        <v>270.25751456000006</v>
      </c>
      <c r="E6">
        <f t="shared" si="0"/>
        <v>1351.2875728000004</v>
      </c>
    </row>
    <row r="7" spans="2:7" x14ac:dyDescent="0.35">
      <c r="B7" s="2" t="s">
        <v>93</v>
      </c>
      <c r="C7" s="2" t="s">
        <v>94</v>
      </c>
      <c r="D7">
        <f>+SUMIFS(data!$G:$G,data!$E:$E,'View 1'!$B7,data!$K:$K,MONTH('View 1'!D$3),data!$L:$L,YEAR('View 1'!D$3))/1000</f>
        <v>146.94178399999998</v>
      </c>
      <c r="E7">
        <f t="shared" si="0"/>
        <v>734.70891999999992</v>
      </c>
    </row>
    <row r="8" spans="2:7" x14ac:dyDescent="0.35">
      <c r="B8" s="2" t="s">
        <v>99</v>
      </c>
      <c r="C8" s="2" t="s">
        <v>100</v>
      </c>
      <c r="D8">
        <f>+SUMIFS(data!$G:$G,data!$E:$E,'View 1'!$B8,data!$K:$K,MONTH('View 1'!D$3),data!$L:$L,YEAR('View 1'!D$3))/1000</f>
        <v>70.760336999999993</v>
      </c>
      <c r="E8">
        <f t="shared" si="0"/>
        <v>353.80168499999996</v>
      </c>
    </row>
    <row r="9" spans="2:7" x14ac:dyDescent="0.35">
      <c r="B9" s="2" t="s">
        <v>101</v>
      </c>
      <c r="C9" s="2" t="s">
        <v>102</v>
      </c>
      <c r="D9">
        <f>+SUMIFS(data!$G:$G,data!$E:$E,'View 1'!$B9,data!$K:$K,MONTH('View 1'!D$3),data!$L:$L,YEAR('View 1'!D$3))/1000</f>
        <v>8.1686160000000001</v>
      </c>
      <c r="E9">
        <f t="shared" si="0"/>
        <v>40.84308</v>
      </c>
    </row>
    <row r="10" spans="2:7" x14ac:dyDescent="0.35">
      <c r="B10" s="2" t="s">
        <v>103</v>
      </c>
      <c r="C10" s="2" t="s">
        <v>104</v>
      </c>
      <c r="D10">
        <f>+SUMIFS(data!$G:$G,data!$E:$E,'View 1'!$B10,data!$K:$K,MONTH('View 1'!D$3),data!$L:$L,YEAR('View 1'!D$3))/1000</f>
        <v>11.259169999999999</v>
      </c>
      <c r="E10">
        <f t="shared" si="0"/>
        <v>56.295849999999994</v>
      </c>
    </row>
    <row r="11" spans="2:7" x14ac:dyDescent="0.35">
      <c r="B11" s="2" t="s">
        <v>105</v>
      </c>
      <c r="C11" s="2" t="s">
        <v>106</v>
      </c>
      <c r="D11">
        <f>+SUMIFS(data!$G:$G,data!$E:$E,'View 1'!$B11,data!$K:$K,MONTH('View 1'!D$3),data!$L:$L,YEAR('View 1'!D$3))/1000</f>
        <v>6.0560499999999999</v>
      </c>
      <c r="E11">
        <f t="shared" si="0"/>
        <v>30.280249999999999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5ED36-6D57-4203-A05C-DF8C8D9EABFB}">
  <dimension ref="A1:F20"/>
  <sheetViews>
    <sheetView workbookViewId="0">
      <selection activeCell="H21" sqref="H21"/>
    </sheetView>
  </sheetViews>
  <sheetFormatPr defaultRowHeight="14.5" x14ac:dyDescent="0.35"/>
  <cols>
    <col min="1" max="1" width="14.81640625" bestFit="1" customWidth="1"/>
    <col min="2" max="2" width="16.1796875" bestFit="1" customWidth="1"/>
    <col min="3" max="3" width="11.81640625" bestFit="1" customWidth="1"/>
    <col min="4" max="4" width="8.81640625" bestFit="1" customWidth="1"/>
    <col min="5" max="5" width="14.81640625" bestFit="1" customWidth="1"/>
    <col min="6" max="6" width="16.1796875" bestFit="1" customWidth="1"/>
    <col min="7" max="7" width="11.81640625" bestFit="1" customWidth="1"/>
    <col min="8" max="8" width="9.81640625" bestFit="1" customWidth="1"/>
    <col min="9" max="9" width="10.81640625" bestFit="1" customWidth="1"/>
    <col min="10" max="10" width="6.90625" bestFit="1" customWidth="1"/>
    <col min="11" max="11" width="11.81640625" bestFit="1" customWidth="1"/>
  </cols>
  <sheetData>
    <row r="1" spans="1:6" x14ac:dyDescent="0.35">
      <c r="A1" s="5" t="s">
        <v>9</v>
      </c>
      <c r="B1" t="s">
        <v>114</v>
      </c>
      <c r="E1" s="5" t="s">
        <v>9</v>
      </c>
      <c r="F1" t="s">
        <v>114</v>
      </c>
    </row>
    <row r="3" spans="1:6" x14ac:dyDescent="0.35">
      <c r="A3" s="5" t="s">
        <v>112</v>
      </c>
      <c r="B3" s="5" t="s">
        <v>113</v>
      </c>
      <c r="E3" s="5" t="s">
        <v>112</v>
      </c>
      <c r="F3" s="5" t="s">
        <v>113</v>
      </c>
    </row>
    <row r="4" spans="1:6" x14ac:dyDescent="0.35">
      <c r="A4" s="5" t="s">
        <v>110</v>
      </c>
      <c r="B4" t="s">
        <v>73</v>
      </c>
      <c r="E4" s="5" t="s">
        <v>110</v>
      </c>
      <c r="F4" t="s">
        <v>93</v>
      </c>
    </row>
    <row r="5" spans="1:6" x14ac:dyDescent="0.35">
      <c r="A5" s="6" t="s">
        <v>53</v>
      </c>
      <c r="B5" s="3">
        <v>62949.96</v>
      </c>
      <c r="E5" s="6" t="s">
        <v>95</v>
      </c>
      <c r="F5" s="3">
        <v>54615.45</v>
      </c>
    </row>
    <row r="6" spans="1:6" x14ac:dyDescent="0.35">
      <c r="A6" s="6" t="s">
        <v>71</v>
      </c>
      <c r="B6" s="3">
        <v>60756.53</v>
      </c>
      <c r="E6" s="6" t="s">
        <v>83</v>
      </c>
      <c r="F6" s="3">
        <v>31300</v>
      </c>
    </row>
    <row r="7" spans="1:6" x14ac:dyDescent="0.35">
      <c r="A7" s="6" t="s">
        <v>37</v>
      </c>
      <c r="B7" s="3">
        <v>40139.79</v>
      </c>
      <c r="E7" s="6" t="s">
        <v>91</v>
      </c>
      <c r="F7" s="3">
        <v>19342.258000000002</v>
      </c>
    </row>
    <row r="8" spans="1:6" x14ac:dyDescent="0.35">
      <c r="A8" s="6" t="s">
        <v>17</v>
      </c>
      <c r="B8" s="3">
        <v>34870.71</v>
      </c>
      <c r="E8" s="6" t="s">
        <v>17</v>
      </c>
      <c r="F8" s="3">
        <v>10875.36</v>
      </c>
    </row>
    <row r="9" spans="1:6" x14ac:dyDescent="0.35">
      <c r="A9" s="6" t="s">
        <v>27</v>
      </c>
      <c r="B9" s="3">
        <v>30200</v>
      </c>
      <c r="E9" s="6" t="s">
        <v>41</v>
      </c>
      <c r="F9" s="3">
        <v>10391.673000000001</v>
      </c>
    </row>
    <row r="10" spans="1:6" x14ac:dyDescent="0.35">
      <c r="A10" s="6" t="s">
        <v>67</v>
      </c>
      <c r="B10" s="3">
        <v>28675.945</v>
      </c>
      <c r="E10" s="6" t="s">
        <v>97</v>
      </c>
      <c r="F10" s="3">
        <v>9564.1200000000008</v>
      </c>
    </row>
    <row r="11" spans="1:6" x14ac:dyDescent="0.35">
      <c r="A11" s="6" t="s">
        <v>39</v>
      </c>
      <c r="B11" s="3">
        <v>6598.93</v>
      </c>
      <c r="E11" s="6" t="s">
        <v>67</v>
      </c>
      <c r="F11" s="3">
        <v>5190.7370000000001</v>
      </c>
    </row>
    <row r="12" spans="1:6" x14ac:dyDescent="0.35">
      <c r="A12" s="6" t="s">
        <v>29</v>
      </c>
      <c r="B12" s="3">
        <v>4128.08</v>
      </c>
      <c r="E12" s="6" t="s">
        <v>75</v>
      </c>
      <c r="F12" s="3">
        <v>2414.38</v>
      </c>
    </row>
    <row r="13" spans="1:6" x14ac:dyDescent="0.35">
      <c r="A13" s="6" t="s">
        <v>19</v>
      </c>
      <c r="B13" s="3">
        <v>1097.43</v>
      </c>
      <c r="E13" s="6" t="s">
        <v>19</v>
      </c>
      <c r="F13" s="3">
        <v>2359.34</v>
      </c>
    </row>
    <row r="14" spans="1:6" x14ac:dyDescent="0.35">
      <c r="A14" s="6" t="s">
        <v>57</v>
      </c>
      <c r="B14" s="3">
        <v>710.23</v>
      </c>
      <c r="E14" s="6" t="s">
        <v>77</v>
      </c>
      <c r="F14" s="3">
        <v>491.93</v>
      </c>
    </row>
    <row r="15" spans="1:6" x14ac:dyDescent="0.35">
      <c r="A15" s="6" t="s">
        <v>63</v>
      </c>
      <c r="B15" s="3">
        <v>46.2</v>
      </c>
      <c r="E15" s="6" t="s">
        <v>61</v>
      </c>
      <c r="F15" s="3">
        <v>160.85</v>
      </c>
    </row>
    <row r="16" spans="1:6" x14ac:dyDescent="0.35">
      <c r="A16" s="6" t="s">
        <v>61</v>
      </c>
      <c r="B16" s="3">
        <v>45.82</v>
      </c>
      <c r="E16" s="6" t="s">
        <v>51</v>
      </c>
      <c r="F16" s="3">
        <v>97.48</v>
      </c>
    </row>
    <row r="17" spans="1:6" x14ac:dyDescent="0.35">
      <c r="A17" s="6" t="s">
        <v>35</v>
      </c>
      <c r="B17" s="3">
        <v>37.792560000000002</v>
      </c>
      <c r="E17" s="6" t="s">
        <v>63</v>
      </c>
      <c r="F17" s="3">
        <v>93.846000000000004</v>
      </c>
    </row>
    <row r="18" spans="1:6" x14ac:dyDescent="0.35">
      <c r="A18" s="6" t="s">
        <v>65</v>
      </c>
      <c r="B18" s="3">
        <v>6.7299999999999999E-2</v>
      </c>
      <c r="E18" s="6" t="s">
        <v>57</v>
      </c>
      <c r="F18" s="3">
        <v>44.36</v>
      </c>
    </row>
    <row r="19" spans="1:6" x14ac:dyDescent="0.35">
      <c r="A19" s="6" t="s">
        <v>33</v>
      </c>
      <c r="B19" s="3">
        <v>2.9700000000000001E-2</v>
      </c>
      <c r="E19" s="6" t="s">
        <v>111</v>
      </c>
      <c r="F19" s="3">
        <v>146941.78399999999</v>
      </c>
    </row>
    <row r="20" spans="1:6" x14ac:dyDescent="0.35">
      <c r="A20" s="6" t="s">
        <v>111</v>
      </c>
      <c r="B20" s="3">
        <v>270257.51456000004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A1AFF6-AEB6-464D-A83F-D1001B0F274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View 1</vt:lpstr>
      <vt:lpstr>View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Figueroa</dc:creator>
  <cp:lastModifiedBy>Pablo Figueroa</cp:lastModifiedBy>
  <dcterms:created xsi:type="dcterms:W3CDTF">2025-04-08T18:50:52Z</dcterms:created>
  <dcterms:modified xsi:type="dcterms:W3CDTF">2025-04-08T19:06:49Z</dcterms:modified>
</cp:coreProperties>
</file>